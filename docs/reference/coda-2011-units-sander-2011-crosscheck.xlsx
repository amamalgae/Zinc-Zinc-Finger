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読み方とメモ" sheetId="1" state="visible" r:id="rId3"/>
    <sheet name="Supp Table 1 (F1)" sheetId="2" state="visible" r:id="rId4"/>
    <sheet name="Supp Table 2 (F3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<sst xmlns="http://schemas.openxmlformats.org/spreadsheetml/2006/main" count="790" uniqueCount="490">
  <si>
    <t xml:space="preserve">この表は何？</t>
  </si>
  <si>
    <r>
      <rPr>
        <sz val="10"/>
        <color rgb="FF000000"/>
        <rFont val="Arial"/>
        <family val="0"/>
        <charset val="1"/>
      </rPr>
      <t xml:space="preserve">amamalgae/Zinc-Zinc-Finger </t>
    </r>
    <r>
      <rPr>
        <sz val="10"/>
        <color rgb="FF000000"/>
        <rFont val="Noto Sans CJK SC"/>
        <family val="2"/>
      </rPr>
      <t xml:space="preserve">の </t>
    </r>
    <r>
      <rPr>
        <sz val="10"/>
        <color rgb="FF000000"/>
        <rFont val="Arial"/>
        <family val="0"/>
        <charset val="1"/>
      </rPr>
      <t xml:space="preserve">data/coda-2011-units.json</t>
    </r>
    <r>
      <rPr>
        <sz val="10"/>
        <color rgb="FF000000"/>
        <rFont val="Noto Sans CJK SC"/>
        <family val="2"/>
      </rPr>
      <t xml:space="preserve">（ツールが持っている</t>
    </r>
    <r>
      <rPr>
        <sz val="10"/>
        <color rgb="FF000000"/>
        <rFont val="Arial"/>
        <family val="0"/>
        <charset val="1"/>
      </rPr>
      <t xml:space="preserve">663</t>
    </r>
    <r>
      <rPr>
        <sz val="10"/>
        <color rgb="FF000000"/>
        <rFont val="Noto Sans CJK SC"/>
        <family val="2"/>
      </rPr>
      <t xml:space="preserve">本のフィンガー辞書）を、</t>
    </r>
  </si>
  <si>
    <r>
      <rPr>
        <sz val="10"/>
        <color rgb="FF000000"/>
        <rFont val="Arial"/>
        <family val="0"/>
        <charset val="1"/>
      </rPr>
      <t xml:space="preserve">Sander 2011 </t>
    </r>
    <r>
      <rPr>
        <sz val="10"/>
        <color rgb="FF000000"/>
        <rFont val="Noto Sans CJK SC"/>
        <family val="2"/>
      </rPr>
      <t xml:space="preserve">の </t>
    </r>
    <r>
      <rPr>
        <sz val="10"/>
        <color rgb="FF000000"/>
        <rFont val="Arial"/>
        <family val="0"/>
        <charset val="1"/>
      </rPr>
      <t xml:space="preserve">Supplementary Table 1/2 </t>
    </r>
    <r>
      <rPr>
        <sz val="10"/>
        <color rgb="FF000000"/>
        <rFont val="Noto Sans CJK SC"/>
        <family val="2"/>
      </rPr>
      <t xml:space="preserve">と同じ行順・列順に並べ直したものです。論文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と横に並べて</t>
    </r>
  </si>
  <si>
    <t xml:space="preserve">目視で突き合わせるためのシートです。</t>
  </si>
  <si>
    <t xml:space="preserve">色の意味</t>
  </si>
  <si>
    <r>
      <rPr>
        <sz val="10"/>
        <color rgb="FF000000"/>
        <rFont val="Noto Sans CJK SC"/>
        <family val="2"/>
      </rPr>
      <t xml:space="preserve">薄紫 </t>
    </r>
    <r>
      <rPr>
        <sz val="10"/>
        <color rgb="FF000000"/>
        <rFont val="Arial"/>
        <family val="0"/>
        <charset val="1"/>
      </rPr>
      <t xml:space="preserve">= </t>
    </r>
    <r>
      <rPr>
        <sz val="10"/>
        <color rgb="FF000000"/>
        <rFont val="Noto Sans CJK SC"/>
        <family val="2"/>
      </rPr>
      <t xml:space="preserve">その</t>
    </r>
    <r>
      <rPr>
        <sz val="10"/>
        <color rgb="FF000000"/>
        <rFont val="Arial"/>
        <family val="0"/>
        <charset val="1"/>
      </rPr>
      <t xml:space="preserve">F2 context </t>
    </r>
    <r>
      <rPr>
        <sz val="10"/>
        <color rgb="FF000000"/>
        <rFont val="Noto Sans CJK SC"/>
        <family val="2"/>
      </rPr>
      <t xml:space="preserve">で選抜済みのユニットあり</t>
    </r>
  </si>
  <si>
    <r>
      <rPr>
        <sz val="10"/>
        <color rgb="FF000000"/>
        <rFont val="Noto Sans CJK SC"/>
        <family val="2"/>
      </rPr>
      <t xml:space="preserve">空欄  </t>
    </r>
    <r>
      <rPr>
        <sz val="10"/>
        <color rgb="FF000000"/>
        <rFont val="Arial"/>
        <family val="0"/>
        <charset val="1"/>
      </rPr>
      <t xml:space="preserve">= N.F.</t>
    </r>
    <r>
      <rPr>
        <sz val="10"/>
        <color rgb="FF000000"/>
        <rFont val="Noto Sans CJK SC"/>
        <family val="2"/>
      </rPr>
      <t xml:space="preserve">（選抜したが取れなかった）または未試行。</t>
    </r>
    <r>
      <rPr>
        <sz val="10"/>
        <color rgb="FF000000"/>
        <rFont val="Arial"/>
        <family val="0"/>
        <charset val="1"/>
      </rPr>
      <t xml:space="preserve">JSON</t>
    </r>
    <r>
      <rPr>
        <sz val="10"/>
        <color rgb="FF000000"/>
        <rFont val="Noto Sans CJK SC"/>
        <family val="2"/>
      </rPr>
      <t xml:space="preserve">はこの</t>
    </r>
    <r>
      <rPr>
        <sz val="10"/>
        <color rgb="FF000000"/>
        <rFont val="Arial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つを区別していません</t>
    </r>
  </si>
  <si>
    <r>
      <rPr>
        <sz val="10"/>
        <color rgb="FF000000"/>
        <rFont val="Noto Sans CJK SC"/>
        <family val="2"/>
      </rPr>
      <t xml:space="preserve">橙    </t>
    </r>
    <r>
      <rPr>
        <sz val="10"/>
        <color rgb="FF000000"/>
        <rFont val="Arial"/>
        <family val="0"/>
        <charset val="1"/>
      </rPr>
      <t xml:space="preserve">= ZFN_Result01 </t>
    </r>
    <r>
      <rPr>
        <sz val="10"/>
        <color rgb="FF000000"/>
        <rFont val="Noto Sans CJK SC"/>
        <family val="2"/>
      </rPr>
      <t xml:space="preserve">と </t>
    </r>
    <r>
      <rPr>
        <sz val="10"/>
        <color rgb="FF000000"/>
        <rFont val="Arial"/>
        <family val="0"/>
        <charset val="1"/>
      </rPr>
      <t xml:space="preserve">ZFN_Result03 </t>
    </r>
    <r>
      <rPr>
        <sz val="10"/>
        <color rgb="FF000000"/>
        <rFont val="Noto Sans CJK SC"/>
        <family val="2"/>
      </rPr>
      <t xml:space="preserve">が実際に使った</t>
    </r>
    <r>
      <rPr>
        <sz val="10"/>
        <color rgb="FF000000"/>
        <rFont val="Arial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セル（</t>
    </r>
    <r>
      <rPr>
        <sz val="10"/>
        <color rgb="FF000000"/>
        <rFont val="Arial"/>
        <family val="0"/>
        <charset val="1"/>
      </rPr>
      <t xml:space="preserve">F2</t>
    </r>
    <r>
      <rPr>
        <sz val="10"/>
        <color rgb="FF000000"/>
        <rFont val="Noto Sans CJK SC"/>
        <family val="2"/>
      </rPr>
      <t xml:space="preserve">は行ラベル側なので含まず）</t>
    </r>
  </si>
  <si>
    <t xml:space="preserve">照合できた点</t>
  </si>
  <si>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個の</t>
    </r>
    <r>
      <rPr>
        <sz val="10"/>
        <color rgb="FF000000"/>
        <rFont val="Arial"/>
        <family val="0"/>
        <charset val="1"/>
      </rPr>
      <t xml:space="preserve">F2 target/helix </t>
    </r>
    <r>
      <rPr>
        <sz val="10"/>
        <color rgb="FF000000"/>
        <rFont val="Noto Sans CJK SC"/>
        <family val="2"/>
      </rPr>
      <t xml:space="preserve">行ラベル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完全一致</t>
    </r>
  </si>
  <si>
    <r>
      <rPr>
        <sz val="10"/>
        <color rgb="FF000000"/>
        <rFont val="Noto Sans CJK SC"/>
        <family val="2"/>
      </rPr>
      <t xml:space="preserve">列ヘッダー</t>
    </r>
    <r>
      <rPr>
        <sz val="10"/>
        <color rgb="FF000000"/>
        <rFont val="Arial"/>
        <family val="0"/>
        <charset val="1"/>
      </rPr>
      <t xml:space="preserve">: F1</t>
    </r>
    <r>
      <rPr>
        <sz val="10"/>
        <color rgb="FF000000"/>
        <rFont val="Noto Sans CJK SC"/>
        <family val="2"/>
      </rPr>
      <t xml:space="preserve">表</t>
    </r>
    <r>
      <rPr>
        <sz val="10"/>
        <color rgb="FF000000"/>
        <rFont val="Arial"/>
        <family val="0"/>
        <charset val="1"/>
      </rPr>
      <t xml:space="preserve">25</t>
    </r>
    <r>
      <rPr>
        <sz val="10"/>
        <color rgb="FF000000"/>
        <rFont val="Noto Sans CJK SC"/>
        <family val="2"/>
      </rPr>
      <t xml:space="preserve">列 </t>
    </r>
    <r>
      <rPr>
        <sz val="10"/>
        <color rgb="FF000000"/>
        <rFont val="Arial"/>
        <family val="0"/>
        <charset val="1"/>
      </rPr>
      <t xml:space="preserve">/ F3</t>
    </r>
    <r>
      <rPr>
        <sz val="10"/>
        <color rgb="FF000000"/>
        <rFont val="Noto Sans CJK SC"/>
        <family val="2"/>
      </rPr>
      <t xml:space="preserve">表</t>
    </r>
    <r>
      <rPr>
        <sz val="10"/>
        <color rgb="FF000000"/>
        <rFont val="Arial"/>
        <family val="0"/>
        <charset val="1"/>
      </rPr>
      <t xml:space="preserve">27</t>
    </r>
    <r>
      <rPr>
        <sz val="10"/>
        <color rgb="FF000000"/>
        <rFont val="Noto Sans CJK SC"/>
        <family val="2"/>
      </rPr>
      <t xml:space="preserve">列とも完全一致</t>
    </r>
  </si>
  <si>
    <r>
      <rPr>
        <sz val="10"/>
        <color rgb="FF000000"/>
        <rFont val="Noto Sans CJK SC"/>
        <family val="2"/>
      </rPr>
      <t xml:space="preserve">行別ユニット数</t>
    </r>
    <r>
      <rPr>
        <sz val="10"/>
        <color rgb="FF000000"/>
        <rFont val="Arial"/>
        <family val="0"/>
        <charset val="1"/>
      </rPr>
      <t xml:space="preserve">: </t>
    </r>
    <r>
      <rPr>
        <sz val="10"/>
        <color rgb="FF000000"/>
        <rFont val="Noto Sans CJK SC"/>
        <family val="2"/>
      </rPr>
      <t xml:space="preserve">全</t>
    </r>
    <r>
      <rPr>
        <sz val="10"/>
        <color rgb="FF000000"/>
        <rFont val="Arial"/>
        <family val="0"/>
        <charset val="1"/>
      </rPr>
      <t xml:space="preserve">18</t>
    </r>
    <r>
      <rPr>
        <sz val="10"/>
        <color rgb="FF000000"/>
        <rFont val="Noto Sans CJK SC"/>
        <family val="2"/>
      </rPr>
      <t xml:space="preserve">行一致（</t>
    </r>
    <r>
      <rPr>
        <sz val="10"/>
        <color rgb="FF000000"/>
        <rFont val="Arial"/>
        <family val="0"/>
        <charset val="1"/>
      </rPr>
      <t xml:space="preserve">F1</t>
    </r>
    <r>
      <rPr>
        <sz val="10"/>
        <color rgb="FF000000"/>
        <rFont val="Noto Sans CJK SC"/>
        <family val="2"/>
      </rPr>
      <t xml:space="preserve">計</t>
    </r>
    <r>
      <rPr>
        <sz val="10"/>
        <color rgb="FF000000"/>
        <rFont val="Arial"/>
        <family val="0"/>
        <charset val="1"/>
      </rPr>
      <t xml:space="preserve">319 / F3</t>
    </r>
    <r>
      <rPr>
        <sz val="10"/>
        <color rgb="FF000000"/>
        <rFont val="Noto Sans CJK SC"/>
        <family val="2"/>
      </rPr>
      <t xml:space="preserve">計</t>
    </r>
    <r>
      <rPr>
        <sz val="10"/>
        <color rgb="FF000000"/>
        <rFont val="Arial"/>
        <family val="0"/>
        <charset val="1"/>
      </rPr>
      <t xml:space="preserve">344 / </t>
    </r>
    <r>
      <rPr>
        <sz val="10"/>
        <color rgb="FF000000"/>
        <rFont val="Noto Sans CJK SC"/>
        <family val="2"/>
      </rPr>
      <t xml:space="preserve">総計</t>
    </r>
    <r>
      <rPr>
        <sz val="10"/>
        <color rgb="FF000000"/>
        <rFont val="Arial"/>
        <family val="0"/>
        <charset val="1"/>
      </rPr>
      <t xml:space="preserve">663</t>
    </r>
    <r>
      <rPr>
        <sz val="10"/>
        <color rgb="FF000000"/>
        <rFont val="Noto Sans CJK SC"/>
        <family val="2"/>
      </rPr>
      <t xml:space="preserve">）</t>
    </r>
  </si>
  <si>
    <r>
      <rPr>
        <sz val="10"/>
        <color rgb="FF000000"/>
        <rFont val="Noto Sans CJK SC"/>
        <family val="2"/>
      </rPr>
      <t xml:space="preserve">孤立セルの位置</t>
    </r>
    <r>
      <rPr>
        <sz val="10"/>
        <color rgb="FF000000"/>
        <rFont val="Arial"/>
        <family val="0"/>
        <charset val="1"/>
      </rPr>
      <t xml:space="preserve">: TCC=DKRSLPH, TTA=QQTGLNV, TTT=QRNALSG, TCT=QRNTLKG </t>
    </r>
    <r>
      <rPr>
        <sz val="10"/>
        <color rgb="FF000000"/>
        <rFont val="Noto Sans CJK SC"/>
        <family val="2"/>
      </rPr>
      <t xml:space="preserve">すべて正しい行</t>
    </r>
    <r>
      <rPr>
        <sz val="10"/>
        <color rgb="FF000000"/>
        <rFont val="Arial"/>
        <family val="0"/>
        <charset val="1"/>
      </rPr>
      <t xml:space="preserve">×</t>
    </r>
    <r>
      <rPr>
        <sz val="10"/>
        <color rgb="FF000000"/>
        <rFont val="Noto Sans CJK SC"/>
        <family val="2"/>
      </rPr>
      <t xml:space="preserve">列</t>
    </r>
  </si>
  <si>
    <r>
      <rPr>
        <sz val="10"/>
        <color rgb="FF000000"/>
        <rFont val="Arial"/>
        <family val="0"/>
        <charset val="1"/>
      </rPr>
      <t xml:space="preserve">Σ(F1×F3) = 6,680 = 4^9 </t>
    </r>
    <r>
      <rPr>
        <sz val="10"/>
        <color rgb="FF000000"/>
        <rFont val="Noto Sans CJK SC"/>
        <family val="2"/>
      </rPr>
      <t xml:space="preserve">の </t>
    </r>
    <r>
      <rPr>
        <sz val="10"/>
        <color rgb="FF000000"/>
        <rFont val="Arial"/>
        <family val="0"/>
        <charset val="1"/>
      </rPr>
      <t xml:space="preserve">2.548%</t>
    </r>
    <r>
      <rPr>
        <sz val="10"/>
        <color rgb="FF000000"/>
        <rFont val="Noto Sans CJK SC"/>
        <family val="2"/>
      </rPr>
      <t xml:space="preserve">（論文 </t>
    </r>
    <r>
      <rPr>
        <sz val="10"/>
        <color rgb="FF000000"/>
        <rFont val="Arial"/>
        <family val="0"/>
        <charset val="1"/>
      </rPr>
      <t xml:space="preserve">Supplementary Discussion </t>
    </r>
    <r>
      <rPr>
        <sz val="10"/>
        <color rgb="FF000000"/>
        <rFont val="Noto Sans CJK SC"/>
        <family val="2"/>
      </rPr>
      <t xml:space="preserve">と一致）</t>
    </r>
  </si>
  <si>
    <t xml:space="preserve">論文本文の誤記について（重要）</t>
  </si>
  <si>
    <r>
      <rPr>
        <sz val="10"/>
        <color rgb="FF000000"/>
        <rFont val="Noto Sans CJK SC"/>
        <family val="2"/>
      </rPr>
      <t xml:space="preserve">論文の </t>
    </r>
    <r>
      <rPr>
        <sz val="10"/>
        <color rgb="FF000000"/>
        <rFont val="Arial"/>
        <family val="0"/>
        <charset val="1"/>
      </rPr>
      <t xml:space="preserve">Supplementary Discussion </t>
    </r>
    <r>
      <rPr>
        <sz val="10"/>
        <color rgb="FF000000"/>
        <rFont val="Noto Sans CJK SC"/>
        <family val="2"/>
      </rPr>
      <t xml:space="preserve">は「</t>
    </r>
    <r>
      <rPr>
        <sz val="10"/>
        <color rgb="FF000000"/>
        <rFont val="Arial"/>
        <family val="0"/>
        <charset val="1"/>
      </rPr>
      <t xml:space="preserve">F2 target is GGG = 23 F1s x 20 F3s</t>
    </r>
    <r>
      <rPr>
        <sz val="10"/>
        <color rgb="FF000000"/>
        <rFont val="Noto Sans CJK SC"/>
        <family val="2"/>
      </rPr>
      <t xml:space="preserve">」と書いていますが、</t>
    </r>
  </si>
  <si>
    <r>
      <rPr>
        <sz val="10"/>
        <color rgb="FF000000"/>
        <rFont val="Arial"/>
        <family val="0"/>
        <charset val="1"/>
      </rPr>
      <t xml:space="preserve">Supplementary Table 1/2 </t>
    </r>
    <r>
      <rPr>
        <sz val="10"/>
        <color rgb="FF000000"/>
        <rFont val="Noto Sans CJK SC"/>
        <family val="2"/>
      </rPr>
      <t xml:space="preserve">の </t>
    </r>
    <r>
      <rPr>
        <sz val="10"/>
        <color rgb="FF000000"/>
        <rFont val="Arial"/>
        <family val="0"/>
        <charset val="1"/>
      </rPr>
      <t xml:space="preserve">GGG </t>
    </r>
    <r>
      <rPr>
        <sz val="10"/>
        <color rgb="FF000000"/>
        <rFont val="Noto Sans CJK SC"/>
        <family val="2"/>
      </rPr>
      <t xml:space="preserve">行を実際に数えると </t>
    </r>
    <r>
      <rPr>
        <sz val="10"/>
        <color rgb="FF000000"/>
        <rFont val="Arial"/>
        <family val="0"/>
        <charset val="1"/>
      </rPr>
      <t xml:space="preserve">F1=20 / F3=23 </t>
    </r>
    <r>
      <rPr>
        <sz val="10"/>
        <color rgb="FF000000"/>
        <rFont val="Noto Sans CJK SC"/>
        <family val="2"/>
      </rPr>
      <t xml:space="preserve">です。本文が前後を</t>
    </r>
  </si>
  <si>
    <r>
      <rPr>
        <sz val="10"/>
        <color rgb="FF000000"/>
        <rFont val="Noto Sans CJK SC"/>
        <family val="2"/>
      </rPr>
      <t xml:space="preserve">取り違えています。積は</t>
    </r>
    <r>
      <rPr>
        <sz val="10"/>
        <color rgb="FF000000"/>
        <rFont val="Arial"/>
        <family val="0"/>
        <charset val="1"/>
      </rPr>
      <t xml:space="preserve">460</t>
    </r>
    <r>
      <rPr>
        <sz val="10"/>
        <color rgb="FF000000"/>
        <rFont val="Noto Sans CJK SC"/>
        <family val="2"/>
      </rPr>
      <t xml:space="preserve">で同じ、総計</t>
    </r>
    <r>
      <rPr>
        <sz val="10"/>
        <color rgb="FF000000"/>
        <rFont val="Arial"/>
        <family val="0"/>
        <charset val="1"/>
      </rPr>
      <t xml:space="preserve">6,680</t>
    </r>
    <r>
      <rPr>
        <sz val="10"/>
        <color rgb="FF000000"/>
        <rFont val="Noto Sans CJK SC"/>
        <family val="2"/>
      </rPr>
      <t xml:space="preserve">も変わらないため、合計値の検算では検出できません。</t>
    </r>
  </si>
  <si>
    <r>
      <rPr>
        <sz val="10"/>
        <color rgb="FF000000"/>
        <rFont val="Noto Sans CJK SC"/>
        <family val="2"/>
      </rPr>
      <t xml:space="preserve">ツールの</t>
    </r>
    <r>
      <rPr>
        <sz val="10"/>
        <color rgb="FF000000"/>
        <rFont val="Arial"/>
        <family val="0"/>
        <charset val="1"/>
      </rPr>
      <t xml:space="preserve">JSON</t>
    </r>
    <r>
      <rPr>
        <sz val="10"/>
        <color rgb="FF000000"/>
        <rFont val="Noto Sans CJK SC"/>
        <family val="2"/>
      </rPr>
      <t xml:space="preserve">は【表】に従っており正しい。本文に合わせて</t>
    </r>
    <r>
      <rPr>
        <sz val="10"/>
        <color rgb="FF000000"/>
        <rFont val="Arial"/>
        <family val="0"/>
        <charset val="1"/>
      </rPr>
      <t xml:space="preserve">GGG</t>
    </r>
    <r>
      <rPr>
        <sz val="10"/>
        <color rgb="FF000000"/>
        <rFont val="Noto Sans CJK SC"/>
        <family val="2"/>
      </rPr>
      <t xml:space="preserve">行を入れ替えると、</t>
    </r>
  </si>
  <si>
    <r>
      <rPr>
        <sz val="10"/>
        <color rgb="FF000000"/>
        <rFont val="Arial"/>
        <family val="0"/>
        <charset val="1"/>
      </rPr>
      <t xml:space="preserve">GGG context</t>
    </r>
    <r>
      <rPr>
        <sz val="10"/>
        <color rgb="FF000000"/>
        <rFont val="Noto Sans CJK SC"/>
        <family val="2"/>
      </rPr>
      <t xml:space="preserve">の</t>
    </r>
    <r>
      <rPr>
        <sz val="10"/>
        <color rgb="FF000000"/>
        <rFont val="Arial"/>
        <family val="0"/>
        <charset val="1"/>
      </rPr>
      <t xml:space="preserve">460</t>
    </r>
    <r>
      <rPr>
        <sz val="10"/>
        <color rgb="FF000000"/>
        <rFont val="Noto Sans CJK SC"/>
        <family val="2"/>
      </rPr>
      <t xml:space="preserve">アレイすべてで</t>
    </r>
    <r>
      <rPr>
        <sz val="10"/>
        <color rgb="FF000000"/>
        <rFont val="Arial"/>
        <family val="0"/>
        <charset val="1"/>
      </rPr>
      <t xml:space="preserve">F1</t>
    </r>
    <r>
      <rPr>
        <sz val="10"/>
        <color rgb="FF000000"/>
        <rFont val="Noto Sans CJK SC"/>
        <family val="2"/>
      </rPr>
      <t xml:space="preserve">と</t>
    </r>
    <r>
      <rPr>
        <sz val="10"/>
        <color rgb="FF000000"/>
        <rFont val="Arial"/>
        <family val="0"/>
        <charset val="1"/>
      </rPr>
      <t xml:space="preserve">F3</t>
    </r>
    <r>
      <rPr>
        <sz val="10"/>
        <color rgb="FF000000"/>
        <rFont val="Noto Sans CJK SC"/>
        <family val="2"/>
      </rPr>
      <t xml:space="preserve">のヘリックスが逆になります。絶対に直さないでください。</t>
    </r>
  </si>
  <si>
    <t xml:space="preserve">未検証の点</t>
  </si>
  <si>
    <r>
      <rPr>
        <sz val="10"/>
        <color rgb="FF000000"/>
        <rFont val="Arial"/>
        <family val="0"/>
        <charset val="1"/>
      </rPr>
      <t xml:space="preserve">663</t>
    </r>
    <r>
      <rPr>
        <sz val="10"/>
        <color rgb="FF000000"/>
        <rFont val="Noto Sans CJK SC"/>
        <family val="2"/>
      </rPr>
      <t xml:space="preserve">本のヘリックスの</t>
    </r>
    <r>
      <rPr>
        <sz val="10"/>
        <color rgb="FF000000"/>
        <rFont val="Arial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文字単位の正確さは保証できていません。手元の</t>
    </r>
    <r>
      <rPr>
        <sz val="10"/>
        <color rgb="FF000000"/>
        <rFont val="Arial"/>
        <family val="0"/>
        <charset val="1"/>
      </rPr>
      <t xml:space="preserve">PDF</t>
    </r>
    <r>
      <rPr>
        <sz val="10"/>
        <color rgb="FF000000"/>
        <rFont val="Noto Sans CJK SC"/>
        <family val="2"/>
      </rPr>
      <t xml:space="preserve">では表が画像で、</t>
    </r>
  </si>
  <si>
    <r>
      <rPr>
        <sz val="10"/>
        <color rgb="FF000000"/>
        <rFont val="Arial"/>
        <family val="0"/>
        <charset val="1"/>
      </rPr>
      <t xml:space="preserve">R/H, D/Q, S/G </t>
    </r>
    <r>
      <rPr>
        <sz val="10"/>
        <color rgb="FF000000"/>
        <rFont val="Noto Sans CJK SC"/>
        <family val="2"/>
      </rPr>
      <t xml:space="preserve">の判別がつかないセルがあります。テキストレイヤーのある原本があれば全数照合可能です。</t>
    </r>
  </si>
  <si>
    <t xml:space="preserve">Supplementary Table 1 — F1 CoDA Finger Units</t>
  </si>
  <si>
    <r>
      <rPr>
        <sz val="9"/>
        <color rgb="FF606070"/>
        <rFont val="Noto Sans CJK SC"/>
        <family val="2"/>
      </rPr>
      <t xml:space="preserve">行</t>
    </r>
    <r>
      <rPr>
        <sz val="9"/>
        <color rgb="FF606070"/>
        <rFont val="Arial"/>
        <family val="0"/>
        <charset val="1"/>
      </rPr>
      <t xml:space="preserve">=</t>
    </r>
    <r>
      <rPr>
        <sz val="9"/>
        <color rgb="FF606070"/>
        <rFont val="Noto Sans CJK SC"/>
        <family val="2"/>
      </rPr>
      <t xml:space="preserve">固定</t>
    </r>
    <r>
      <rPr>
        <sz val="9"/>
        <color rgb="FF606070"/>
        <rFont val="Arial"/>
        <family val="0"/>
        <charset val="1"/>
      </rPr>
      <t xml:space="preserve">F2 context / </t>
    </r>
    <r>
      <rPr>
        <sz val="9"/>
        <color rgb="FF606070"/>
        <rFont val="Noto Sans CJK SC"/>
        <family val="2"/>
      </rPr>
      <t xml:space="preserve">列</t>
    </r>
    <r>
      <rPr>
        <sz val="9"/>
        <color rgb="FF606070"/>
        <rFont val="Arial"/>
        <family val="0"/>
        <charset val="1"/>
      </rPr>
      <t xml:space="preserve">=F1</t>
    </r>
    <r>
      <rPr>
        <sz val="9"/>
        <color rgb="FF606070"/>
        <rFont val="Noto Sans CJK SC"/>
        <family val="2"/>
      </rPr>
      <t xml:space="preserve">が読む</t>
    </r>
    <r>
      <rPr>
        <sz val="9"/>
        <color rgb="FF606070"/>
        <rFont val="Arial"/>
        <family val="0"/>
        <charset val="1"/>
      </rPr>
      <t xml:space="preserve">3bp subsite</t>
    </r>
    <r>
      <rPr>
        <sz val="9"/>
        <color rgb="FF606070"/>
        <rFont val="Noto Sans CJK SC"/>
        <family val="2"/>
      </rPr>
      <t xml:space="preserve">（</t>
    </r>
    <r>
      <rPr>
        <sz val="9"/>
        <color rgb="FF606070"/>
        <rFont val="Arial"/>
        <family val="0"/>
        <charset val="1"/>
      </rPr>
      <t xml:space="preserve">F1</t>
    </r>
    <r>
      <rPr>
        <sz val="9"/>
        <color rgb="FF606070"/>
        <rFont val="Noto Sans CJK SC"/>
        <family val="2"/>
      </rPr>
      <t xml:space="preserve">は</t>
    </r>
    <r>
      <rPr>
        <sz val="9"/>
        <color rgb="FF606070"/>
        <rFont val="Arial"/>
        <family val="0"/>
        <charset val="1"/>
      </rPr>
      <t xml:space="preserve">N</t>
    </r>
    <r>
      <rPr>
        <sz val="9"/>
        <color rgb="FF606070"/>
        <rFont val="Noto Sans CJK SC"/>
        <family val="2"/>
      </rPr>
      <t xml:space="preserve">末端フィンガーで、認識鎖の</t>
    </r>
    <r>
      <rPr>
        <sz val="9"/>
        <color rgb="FF606070"/>
        <rFont val="Arial"/>
        <family val="0"/>
        <charset val="1"/>
      </rPr>
      <t xml:space="preserve">3'</t>
    </r>
    <r>
      <rPr>
        <sz val="9"/>
        <color rgb="FF606070"/>
        <rFont val="Noto Sans CJK SC"/>
        <family val="2"/>
      </rPr>
      <t xml:space="preserve">側トリプレットを読む）</t>
    </r>
  </si>
  <si>
    <r>
      <rPr>
        <sz val="9"/>
        <color rgb="FF606070"/>
        <rFont val="Noto Sans CJK SC"/>
        <family val="2"/>
      </rPr>
      <t xml:space="preserve">出典</t>
    </r>
    <r>
      <rPr>
        <sz val="9"/>
        <color rgb="FF606070"/>
        <rFont val="Arial"/>
        <family val="0"/>
        <charset val="1"/>
      </rPr>
      <t xml:space="preserve">: Sander et al. 2011, Nat Methods 8:67-69, DOI 10.1038/nmeth.1542, Supplementary Table 1</t>
    </r>
  </si>
  <si>
    <r>
      <rPr>
        <sz val="9"/>
        <color rgb="FF606070"/>
        <rFont val="Noto Sans CJK SC"/>
        <family val="2"/>
      </rPr>
      <t xml:space="preserve">空欄 </t>
    </r>
    <r>
      <rPr>
        <sz val="9"/>
        <color rgb="FF606070"/>
        <rFont val="Arial"/>
        <family val="0"/>
        <charset val="1"/>
      </rPr>
      <t xml:space="preserve">= N.F.(</t>
    </r>
    <r>
      <rPr>
        <sz val="9"/>
        <color rgb="FF606070"/>
        <rFont val="Noto Sans CJK SC"/>
        <family val="2"/>
      </rPr>
      <t xml:space="preserve">選抜したが取れず</t>
    </r>
    <r>
      <rPr>
        <sz val="9"/>
        <color rgb="FF606070"/>
        <rFont val="Arial"/>
        <family val="0"/>
        <charset val="1"/>
      </rPr>
      <t xml:space="preserve">) </t>
    </r>
    <r>
      <rPr>
        <sz val="9"/>
        <color rgb="FF606070"/>
        <rFont val="Noto Sans CJK SC"/>
        <family val="2"/>
      </rPr>
      <t xml:space="preserve">または未試行。橙色 </t>
    </r>
    <r>
      <rPr>
        <sz val="9"/>
        <color rgb="FF606070"/>
        <rFont val="Arial"/>
        <family val="0"/>
        <charset val="1"/>
      </rPr>
      <t xml:space="preserve">= ZFN_Result01/03 </t>
    </r>
    <r>
      <rPr>
        <sz val="9"/>
        <color rgb="FF606070"/>
        <rFont val="Noto Sans CJK SC"/>
        <family val="2"/>
      </rPr>
      <t xml:space="preserve">が実際に使ったユニット。</t>
    </r>
  </si>
  <si>
    <t xml:space="preserve">F2 Target / Helix</t>
  </si>
  <si>
    <t xml:space="preserve">行内数</t>
  </si>
  <si>
    <t xml:space="preserve">GGG</t>
  </si>
  <si>
    <t xml:space="preserve">GGA</t>
  </si>
  <si>
    <t xml:space="preserve">GGC</t>
  </si>
  <si>
    <t xml:space="preserve">GGT</t>
  </si>
  <si>
    <t xml:space="preserve">GAG</t>
  </si>
  <si>
    <t xml:space="preserve">GAA</t>
  </si>
  <si>
    <t xml:space="preserve">GAC</t>
  </si>
  <si>
    <t xml:space="preserve">GAT</t>
  </si>
  <si>
    <t xml:space="preserve">GCG</t>
  </si>
  <si>
    <t xml:space="preserve">GCA</t>
  </si>
  <si>
    <t xml:space="preserve">GCC</t>
  </si>
  <si>
    <t xml:space="preserve">GCT</t>
  </si>
  <si>
    <t xml:space="preserve">GTG</t>
  </si>
  <si>
    <t xml:space="preserve">GTA</t>
  </si>
  <si>
    <t xml:space="preserve">GTC</t>
  </si>
  <si>
    <t xml:space="preserve">GTT</t>
  </si>
  <si>
    <t xml:space="preserve">AGG</t>
  </si>
  <si>
    <t xml:space="preserve">AAC</t>
  </si>
  <si>
    <t xml:space="preserve">ACG</t>
  </si>
  <si>
    <t xml:space="preserve">TGC</t>
  </si>
  <si>
    <t xml:space="preserve">TGT</t>
  </si>
  <si>
    <t xml:space="preserve">TAG</t>
  </si>
  <si>
    <t xml:space="preserve">TCG</t>
  </si>
  <si>
    <t xml:space="preserve">TCT</t>
  </si>
  <si>
    <t xml:space="preserve">TTC</t>
  </si>
  <si>
    <t xml:space="preserve">GGG / RREHLVR</t>
  </si>
  <si>
    <t xml:space="preserve">RKHHLGR</t>
  </si>
  <si>
    <t xml:space="preserve">TSAHLAR</t>
  </si>
  <si>
    <t xml:space="preserve">TNSKLTR</t>
  </si>
  <si>
    <t xml:space="preserve">RQSRLQR</t>
  </si>
  <si>
    <t xml:space="preserve">RNTNLTR</t>
  </si>
  <si>
    <t xml:space="preserve">QLSNLTR</t>
  </si>
  <si>
    <t xml:space="preserve">EEANLRR</t>
  </si>
  <si>
    <t xml:space="preserve">KRHTLTR</t>
  </si>
  <si>
    <t xml:space="preserve">DRSQLAR</t>
  </si>
  <si>
    <t xml:space="preserve">SHTVLTR</t>
  </si>
  <si>
    <t xml:space="preserve">THSMLAR</t>
  </si>
  <si>
    <t xml:space="preserve">SRFTLGR</t>
  </si>
  <si>
    <t xml:space="preserve">QQSSLLR</t>
  </si>
  <si>
    <t xml:space="preserve">TKSLLAR</t>
  </si>
  <si>
    <t xml:space="preserve">IKAILTR</t>
  </si>
  <si>
    <t xml:space="preserve">HRTNLIA</t>
  </si>
  <si>
    <t xml:space="preserve">KNNDLTR</t>
  </si>
  <si>
    <t xml:space="preserve">RRRNLTL</t>
  </si>
  <si>
    <t xml:space="preserve">RKQHLTL</t>
  </si>
  <si>
    <t xml:space="preserve">KNNDLLK</t>
  </si>
  <si>
    <t xml:space="preserve">GGA / QSAHLKR</t>
  </si>
  <si>
    <t xml:space="preserve">KKDHLHR</t>
  </si>
  <si>
    <t xml:space="preserve">RTDRLIR</t>
  </si>
  <si>
    <t xml:space="preserve">VPSKLLR</t>
  </si>
  <si>
    <t xml:space="preserve">IPNHLAR</t>
  </si>
  <si>
    <t xml:space="preserve">KHSNLTR</t>
  </si>
  <si>
    <t xml:space="preserve">QRSNLAR</t>
  </si>
  <si>
    <t xml:space="preserve">DEANLRR</t>
  </si>
  <si>
    <t xml:space="preserve">TRQRLRI</t>
  </si>
  <si>
    <t xml:space="preserve">KNTRLSV</t>
  </si>
  <si>
    <t xml:space="preserve">DSPTLRR</t>
  </si>
  <si>
    <t xml:space="preserve">TTQALRR</t>
  </si>
  <si>
    <t xml:space="preserve">RNFILQR</t>
  </si>
  <si>
    <t xml:space="preserve">QQQALTR</t>
  </si>
  <si>
    <t xml:space="preserve">TSTLLKR</t>
  </si>
  <si>
    <t xml:space="preserve">TTALLKR</t>
  </si>
  <si>
    <t xml:space="preserve">RPHHLDA</t>
  </si>
  <si>
    <t xml:space="preserve">GGTALVM</t>
  </si>
  <si>
    <t xml:space="preserve">KRIDLQR</t>
  </si>
  <si>
    <t xml:space="preserve">RSRNLLL</t>
  </si>
  <si>
    <t xml:space="preserve">RRQHLQY</t>
  </si>
  <si>
    <t xml:space="preserve">RGHNLLV</t>
  </si>
  <si>
    <t xml:space="preserve">RANHLTI</t>
  </si>
  <si>
    <t xml:space="preserve">GGC / LKEHLTR</t>
  </si>
  <si>
    <t xml:space="preserve">RPSKLVL</t>
  </si>
  <si>
    <t xml:space="preserve">SKHKLER</t>
  </si>
  <si>
    <t xml:space="preserve">HRPNLTR</t>
  </si>
  <si>
    <t xml:space="preserve">DPSNLRR</t>
  </si>
  <si>
    <t xml:space="preserve">RRHGLDR</t>
  </si>
  <si>
    <t xml:space="preserve">RRQELHR</t>
  </si>
  <si>
    <t xml:space="preserve">SNKDLTR</t>
  </si>
  <si>
    <t xml:space="preserve">TSSGLTR</t>
  </si>
  <si>
    <t xml:space="preserve">TGAVLTR</t>
  </si>
  <si>
    <t xml:space="preserve">GGT / EAHHLSR</t>
  </si>
  <si>
    <t xml:space="preserve">KGDHLRR</t>
  </si>
  <si>
    <t xml:space="preserve">THAHLTR</t>
  </si>
  <si>
    <t xml:space="preserve">VPSKLKR</t>
  </si>
  <si>
    <t xml:space="preserve">MKHHLAR</t>
  </si>
  <si>
    <t xml:space="preserve">RKPNLLR</t>
  </si>
  <si>
    <t xml:space="preserve">RRLTLLR</t>
  </si>
  <si>
    <t xml:space="preserve">DKAQLGR</t>
  </si>
  <si>
    <t xml:space="preserve">SKKSLTR</t>
  </si>
  <si>
    <t xml:space="preserve">LRQTLAR</t>
  </si>
  <si>
    <t xml:space="preserve">RRFILSR</t>
  </si>
  <si>
    <t xml:space="preserve">QQQALKR</t>
  </si>
  <si>
    <t xml:space="preserve">TRAVLRR</t>
  </si>
  <si>
    <t xml:space="preserve">AATALRR</t>
  </si>
  <si>
    <t xml:space="preserve">RRAHLLS</t>
  </si>
  <si>
    <t xml:space="preserve">GASALRS</t>
  </si>
  <si>
    <t xml:space="preserve">GAG / RQDNLGR</t>
  </si>
  <si>
    <t xml:space="preserve">RNTHLAR</t>
  </si>
  <si>
    <t xml:space="preserve">SPSKLVR</t>
  </si>
  <si>
    <t xml:space="preserve">TRQKLET</t>
  </si>
  <si>
    <t xml:space="preserve">RQMNLDR</t>
  </si>
  <si>
    <t xml:space="preserve">QASNLLR</t>
  </si>
  <si>
    <t xml:space="preserve">RKLGLLR</t>
  </si>
  <si>
    <t xml:space="preserve">RRVDLLR</t>
  </si>
  <si>
    <t xml:space="preserve">VRKDLTR</t>
  </si>
  <si>
    <t xml:space="preserve">NKQALDR</t>
  </si>
  <si>
    <t xml:space="preserve">RRHILDR</t>
  </si>
  <si>
    <t xml:space="preserve">QQQALVR</t>
  </si>
  <si>
    <t xml:space="preserve">NTSLLRR</t>
  </si>
  <si>
    <t xml:space="preserve">TTTVLAR</t>
  </si>
  <si>
    <t xml:space="preserve">GHTALRN</t>
  </si>
  <si>
    <t xml:space="preserve">RKHDLNM</t>
  </si>
  <si>
    <t xml:space="preserve">RRRNLHL</t>
  </si>
  <si>
    <t xml:space="preserve">RHQHLKL</t>
  </si>
  <si>
    <t xml:space="preserve">SKPNLKM</t>
  </si>
  <si>
    <t xml:space="preserve">GAA / QQTNLTR</t>
  </si>
  <si>
    <t xml:space="preserve">KRERLDR</t>
  </si>
  <si>
    <t xml:space="preserve">RMERLDR</t>
  </si>
  <si>
    <t xml:space="preserve">TRAKLHI</t>
  </si>
  <si>
    <t xml:space="preserve">TKQRLEV</t>
  </si>
  <si>
    <t xml:space="preserve">QASNLTR</t>
  </si>
  <si>
    <t xml:space="preserve">TSQMLVV</t>
  </si>
  <si>
    <t xml:space="preserve">RLRDLPR</t>
  </si>
  <si>
    <t xml:space="preserve">RGQELRR</t>
  </si>
  <si>
    <t xml:space="preserve">QRQALDR</t>
  </si>
  <si>
    <t xml:space="preserve">RTSSLKR</t>
  </si>
  <si>
    <t xml:space="preserve">QKQALDR</t>
  </si>
  <si>
    <t xml:space="preserve">TSTLLNR</t>
  </si>
  <si>
    <t xml:space="preserve">RMAHLHA</t>
  </si>
  <si>
    <t xml:space="preserve">GASALRQ</t>
  </si>
  <si>
    <t xml:space="preserve">RRQTLRQ</t>
  </si>
  <si>
    <t xml:space="preserve">RRRNLQI</t>
  </si>
  <si>
    <t xml:space="preserve">GAC / DRGNLTR</t>
  </si>
  <si>
    <t xml:space="preserve">RPAKLVL</t>
  </si>
  <si>
    <t xml:space="preserve">APSKLDR</t>
  </si>
  <si>
    <t xml:space="preserve">RTHNLTR</t>
  </si>
  <si>
    <t xml:space="preserve">EESNLRR</t>
  </si>
  <si>
    <t xml:space="preserve">KHDTLHR</t>
  </si>
  <si>
    <t xml:space="preserve">LKHSLLR</t>
  </si>
  <si>
    <t xml:space="preserve">ERRGLDR</t>
  </si>
  <si>
    <t xml:space="preserve">VRQGLTR</t>
  </si>
  <si>
    <t xml:space="preserve">RASVLDI</t>
  </si>
  <si>
    <t xml:space="preserve">THTVLAR</t>
  </si>
  <si>
    <t xml:space="preserve">RRAHLLN</t>
  </si>
  <si>
    <t xml:space="preserve">KGNDLTR</t>
  </si>
  <si>
    <t xml:space="preserve">RSRNLDI</t>
  </si>
  <si>
    <t xml:space="preserve">RKQHLQL</t>
  </si>
  <si>
    <t xml:space="preserve">RSHNLRL</t>
  </si>
  <si>
    <t xml:space="preserve">GAT / VRHNLTR</t>
  </si>
  <si>
    <t xml:space="preserve">DKTKLRV</t>
  </si>
  <si>
    <t xml:space="preserve">SPSKLAR</t>
  </si>
  <si>
    <t xml:space="preserve">MKHHLDA</t>
  </si>
  <si>
    <t xml:space="preserve">TNNNLAR</t>
  </si>
  <si>
    <t xml:space="preserve">EEVNLRR</t>
  </si>
  <si>
    <t xml:space="preserve">TKQRLVV</t>
  </si>
  <si>
    <t xml:space="preserve">RNLTLAR</t>
  </si>
  <si>
    <t xml:space="preserve">LRHSLSR</t>
  </si>
  <si>
    <t xml:space="preserve">DGSTLNR</t>
  </si>
  <si>
    <t xml:space="preserve">TKQVLDR</t>
  </si>
  <si>
    <t xml:space="preserve">RKHILIH</t>
  </si>
  <si>
    <t xml:space="preserve">TKKILTV</t>
  </si>
  <si>
    <t xml:space="preserve">TNQALGV</t>
  </si>
  <si>
    <t xml:space="preserve">RGNHLVV</t>
  </si>
  <si>
    <t xml:space="preserve">RKRNLIM</t>
  </si>
  <si>
    <t xml:space="preserve">KRQHLEY</t>
  </si>
  <si>
    <t xml:space="preserve">GCG / RTDTLAR</t>
  </si>
  <si>
    <t xml:space="preserve">RGNHLRR</t>
  </si>
  <si>
    <t xml:space="preserve">DKTKLNV</t>
  </si>
  <si>
    <t xml:space="preserve">VPSKLAR</t>
  </si>
  <si>
    <t xml:space="preserve">TKQKLQT</t>
  </si>
  <si>
    <t xml:space="preserve">RMSNLDR</t>
  </si>
  <si>
    <t xml:space="preserve">QQSNLSR</t>
  </si>
  <si>
    <t xml:space="preserve">DPSNLIR</t>
  </si>
  <si>
    <t xml:space="preserve">RSNTLLR</t>
  </si>
  <si>
    <t xml:space="preserve">SPEQLAR</t>
  </si>
  <si>
    <t xml:space="preserve">DPSTLRR</t>
  </si>
  <si>
    <t xml:space="preserve">KHQTLQR</t>
  </si>
  <si>
    <t xml:space="preserve">RNFILAR</t>
  </si>
  <si>
    <t xml:space="preserve">MTSSLRR</t>
  </si>
  <si>
    <t xml:space="preserve">RSSHLKM</t>
  </si>
  <si>
    <t xml:space="preserve">GHTALAL</t>
  </si>
  <si>
    <t xml:space="preserve">RSQTLAQ</t>
  </si>
  <si>
    <t xml:space="preserve">RSRNLTL</t>
  </si>
  <si>
    <t xml:space="preserve">GCA / QSTTLKR</t>
  </si>
  <si>
    <t xml:space="preserve">RRAHLQN</t>
  </si>
  <si>
    <t xml:space="preserve">TTTKLAI</t>
  </si>
  <si>
    <t xml:space="preserve">KHSNLAR</t>
  </si>
  <si>
    <t xml:space="preserve">QGSNLAR</t>
  </si>
  <si>
    <t xml:space="preserve">SKQALAV</t>
  </si>
  <si>
    <t xml:space="preserve">RRHTLTR</t>
  </si>
  <si>
    <t xml:space="preserve">QRGTLNR</t>
  </si>
  <si>
    <t xml:space="preserve">TKQILGR</t>
  </si>
  <si>
    <t xml:space="preserve">RSHILTN</t>
  </si>
  <si>
    <t xml:space="preserve">QKQALTR</t>
  </si>
  <si>
    <t xml:space="preserve">RNEHLKV</t>
  </si>
  <si>
    <t xml:space="preserve">RNRNLVL</t>
  </si>
  <si>
    <t xml:space="preserve">RSHNLKL</t>
  </si>
  <si>
    <t xml:space="preserve">GCC / DSSVLRR</t>
  </si>
  <si>
    <t xml:space="preserve">DNAHLAR</t>
  </si>
  <si>
    <t xml:space="preserve">TPSKLDR</t>
  </si>
  <si>
    <t xml:space="preserve">KKTNLTR</t>
  </si>
  <si>
    <t xml:space="preserve">QASNLAR</t>
  </si>
  <si>
    <t xml:space="preserve">LNHTLKR</t>
  </si>
  <si>
    <t xml:space="preserve">DGSTLRR</t>
  </si>
  <si>
    <t xml:space="preserve">LRTSLVR</t>
  </si>
  <si>
    <t xml:space="preserve">APSSLRR</t>
  </si>
  <si>
    <t xml:space="preserve">RGRNLEM</t>
  </si>
  <si>
    <t xml:space="preserve">RSNNLRL</t>
  </si>
  <si>
    <t xml:space="preserve">GCT / QRSDLTR</t>
  </si>
  <si>
    <t xml:space="preserve">APSKLAR</t>
  </si>
  <si>
    <t xml:space="preserve">RRQKLTI</t>
  </si>
  <si>
    <t xml:space="preserve">TTTNLRR</t>
  </si>
  <si>
    <t xml:space="preserve">DLSNLKR</t>
  </si>
  <si>
    <t xml:space="preserve">RKGTLDR</t>
  </si>
  <si>
    <t xml:space="preserve">HNGTLKR</t>
  </si>
  <si>
    <t xml:space="preserve">DRRTLDR</t>
  </si>
  <si>
    <t xml:space="preserve">MKNTLTR</t>
  </si>
  <si>
    <t xml:space="preserve">QATLLRR</t>
  </si>
  <si>
    <t xml:space="preserve">GTG / RREVLEN</t>
  </si>
  <si>
    <t xml:space="preserve">HKPNLHR</t>
  </si>
  <si>
    <t xml:space="preserve">RAHTLRR</t>
  </si>
  <si>
    <t xml:space="preserve">KRRDLDR</t>
  </si>
  <si>
    <t xml:space="preserve">TKPILVR</t>
  </si>
  <si>
    <t xml:space="preserve">RNFVLAR</t>
  </si>
  <si>
    <t xml:space="preserve">TMAVLRR</t>
  </si>
  <si>
    <t xml:space="preserve">MNSVLKR</t>
  </si>
  <si>
    <t xml:space="preserve">GHTALRH</t>
  </si>
  <si>
    <t xml:space="preserve">RNITLVR</t>
  </si>
  <si>
    <t xml:space="preserve">RRQALEY</t>
  </si>
  <si>
    <t xml:space="preserve">GTA / QRSSLVR</t>
  </si>
  <si>
    <t xml:space="preserve">KRERLER</t>
  </si>
  <si>
    <t xml:space="preserve">TRTRLVI</t>
  </si>
  <si>
    <t xml:space="preserve">DPANLRR</t>
  </si>
  <si>
    <t xml:space="preserve">TRQRLAI</t>
  </si>
  <si>
    <t xml:space="preserve">KADTLVR</t>
  </si>
  <si>
    <t xml:space="preserve">NGQGLRR</t>
  </si>
  <si>
    <t xml:space="preserve">TSTILAR</t>
  </si>
  <si>
    <t xml:space="preserve">TSTRLDI</t>
  </si>
  <si>
    <t xml:space="preserve">RRAHLRQ</t>
  </si>
  <si>
    <t xml:space="preserve">GGTALRM</t>
  </si>
  <si>
    <t xml:space="preserve">RARNLTL</t>
  </si>
  <si>
    <t xml:space="preserve">RAHNLLL</t>
  </si>
  <si>
    <t xml:space="preserve">GTC / DHSSLKR</t>
  </si>
  <si>
    <t xml:space="preserve">AKSKLDR</t>
  </si>
  <si>
    <t xml:space="preserve">RRSRLVR</t>
  </si>
  <si>
    <t xml:space="preserve">RTHNLKR</t>
  </si>
  <si>
    <t xml:space="preserve">QRTNLQR</t>
  </si>
  <si>
    <t xml:space="preserve">DDANLRR</t>
  </si>
  <si>
    <t xml:space="preserve">RRQELTR</t>
  </si>
  <si>
    <t xml:space="preserve">GATALKR</t>
  </si>
  <si>
    <t xml:space="preserve">TGAVLRR</t>
  </si>
  <si>
    <t xml:space="preserve">RRTHLRV</t>
  </si>
  <si>
    <t xml:space="preserve">RKQHLVL</t>
  </si>
  <si>
    <t xml:space="preserve">RGTNLRT</t>
  </si>
  <si>
    <t xml:space="preserve">GTT / HKSSLTR</t>
  </si>
  <si>
    <t xml:space="preserve">KSNHLHV</t>
  </si>
  <si>
    <t xml:space="preserve">RSTHLRV</t>
  </si>
  <si>
    <t xml:space="preserve">APSKLKR</t>
  </si>
  <si>
    <t xml:space="preserve">RPHNLLR</t>
  </si>
  <si>
    <t xml:space="preserve">EQANLRR</t>
  </si>
  <si>
    <t xml:space="preserve">TGQQLRV</t>
  </si>
  <si>
    <t xml:space="preserve">RNLTLVR</t>
  </si>
  <si>
    <t xml:space="preserve">RRQELKR</t>
  </si>
  <si>
    <t xml:space="preserve">LKKDLLR</t>
  </si>
  <si>
    <t xml:space="preserve">TKPVLKI</t>
  </si>
  <si>
    <t xml:space="preserve">RSHDLTV</t>
  </si>
  <si>
    <t xml:space="preserve">RMRNLII</t>
  </si>
  <si>
    <t xml:space="preserve">TGG / RREHLTI</t>
  </si>
  <si>
    <t xml:space="preserve">GPTALVN</t>
  </si>
  <si>
    <t xml:space="preserve">TGA / QREHLTT</t>
  </si>
  <si>
    <t xml:space="preserve">QNANLKR</t>
  </si>
  <si>
    <t xml:space="preserve">TNSVLGR</t>
  </si>
  <si>
    <r>
      <rPr>
        <b val="true"/>
        <sz val="9"/>
        <color rgb="FF000000"/>
        <rFont val="Arial"/>
        <family val="0"/>
        <charset val="1"/>
      </rPr>
      <t xml:space="preserve">F1 units </t>
    </r>
    <r>
      <rPr>
        <b val="true"/>
        <sz val="9"/>
        <color rgb="FF000000"/>
        <rFont val="Noto Sans CJK SC"/>
        <family val="2"/>
      </rPr>
      <t xml:space="preserve">合計</t>
    </r>
  </si>
  <si>
    <r>
      <rPr>
        <sz val="9"/>
        <color rgb="FF606070"/>
        <rFont val="Noto Sans CJK SC"/>
        <family val="2"/>
      </rPr>
      <t xml:space="preserve">論文記載値</t>
    </r>
    <r>
      <rPr>
        <sz val="9"/>
        <color rgb="FF606070"/>
        <rFont val="Arial"/>
        <family val="0"/>
        <charset val="1"/>
      </rPr>
      <t xml:space="preserve">: F1=319 / F3=344</t>
    </r>
  </si>
  <si>
    <t xml:space="preserve">Supplementary Table 2 — F3 CoDA Finger Units</t>
  </si>
  <si>
    <r>
      <rPr>
        <sz val="9"/>
        <color rgb="FF606070"/>
        <rFont val="Noto Sans CJK SC"/>
        <family val="2"/>
      </rPr>
      <t xml:space="preserve">行</t>
    </r>
    <r>
      <rPr>
        <sz val="9"/>
        <color rgb="FF606070"/>
        <rFont val="Arial"/>
        <family val="0"/>
        <charset val="1"/>
      </rPr>
      <t xml:space="preserve">=</t>
    </r>
    <r>
      <rPr>
        <sz val="9"/>
        <color rgb="FF606070"/>
        <rFont val="Noto Sans CJK SC"/>
        <family val="2"/>
      </rPr>
      <t xml:space="preserve">固定</t>
    </r>
    <r>
      <rPr>
        <sz val="9"/>
        <color rgb="FF606070"/>
        <rFont val="Arial"/>
        <family val="0"/>
        <charset val="1"/>
      </rPr>
      <t xml:space="preserve">F2 context / </t>
    </r>
    <r>
      <rPr>
        <sz val="9"/>
        <color rgb="FF606070"/>
        <rFont val="Noto Sans CJK SC"/>
        <family val="2"/>
      </rPr>
      <t xml:space="preserve">列</t>
    </r>
    <r>
      <rPr>
        <sz val="9"/>
        <color rgb="FF606070"/>
        <rFont val="Arial"/>
        <family val="0"/>
        <charset val="1"/>
      </rPr>
      <t xml:space="preserve">=F3</t>
    </r>
    <r>
      <rPr>
        <sz val="9"/>
        <color rgb="FF606070"/>
        <rFont val="Noto Sans CJK SC"/>
        <family val="2"/>
      </rPr>
      <t xml:space="preserve">が読む</t>
    </r>
    <r>
      <rPr>
        <sz val="9"/>
        <color rgb="FF606070"/>
        <rFont val="Arial"/>
        <family val="0"/>
        <charset val="1"/>
      </rPr>
      <t xml:space="preserve">3bp subsite</t>
    </r>
    <r>
      <rPr>
        <sz val="9"/>
        <color rgb="FF606070"/>
        <rFont val="Noto Sans CJK SC"/>
        <family val="2"/>
      </rPr>
      <t xml:space="preserve">（</t>
    </r>
    <r>
      <rPr>
        <sz val="9"/>
        <color rgb="FF606070"/>
        <rFont val="Arial"/>
        <family val="0"/>
        <charset val="1"/>
      </rPr>
      <t xml:space="preserve">F3</t>
    </r>
    <r>
      <rPr>
        <sz val="9"/>
        <color rgb="FF606070"/>
        <rFont val="Noto Sans CJK SC"/>
        <family val="2"/>
      </rPr>
      <t xml:space="preserve">は</t>
    </r>
    <r>
      <rPr>
        <sz val="9"/>
        <color rgb="FF606070"/>
        <rFont val="Arial"/>
        <family val="0"/>
        <charset val="1"/>
      </rPr>
      <t xml:space="preserve">C</t>
    </r>
    <r>
      <rPr>
        <sz val="9"/>
        <color rgb="FF606070"/>
        <rFont val="Noto Sans CJK SC"/>
        <family val="2"/>
      </rPr>
      <t xml:space="preserve">末端フィンガーで、認識鎖の</t>
    </r>
    <r>
      <rPr>
        <sz val="9"/>
        <color rgb="FF606070"/>
        <rFont val="Arial"/>
        <family val="0"/>
        <charset val="1"/>
      </rPr>
      <t xml:space="preserve">5'</t>
    </r>
    <r>
      <rPr>
        <sz val="9"/>
        <color rgb="FF606070"/>
        <rFont val="Noto Sans CJK SC"/>
        <family val="2"/>
      </rPr>
      <t xml:space="preserve">側トリプレットを読む）</t>
    </r>
  </si>
  <si>
    <r>
      <rPr>
        <sz val="9"/>
        <color rgb="FF606070"/>
        <rFont val="Noto Sans CJK SC"/>
        <family val="2"/>
      </rPr>
      <t xml:space="preserve">出典</t>
    </r>
    <r>
      <rPr>
        <sz val="9"/>
        <color rgb="FF606070"/>
        <rFont val="Arial"/>
        <family val="0"/>
        <charset val="1"/>
      </rPr>
      <t xml:space="preserve">: Sander et al. 2011, Nat Methods 8:67-69, DOI 10.1038/nmeth.1542, Supplementary Table 2</t>
    </r>
  </si>
  <si>
    <t xml:space="preserve">TGG</t>
  </si>
  <si>
    <t xml:space="preserve">TAA</t>
  </si>
  <si>
    <t xml:space="preserve">TCC</t>
  </si>
  <si>
    <t xml:space="preserve">TTA</t>
  </si>
  <si>
    <t xml:space="preserve">TTT</t>
  </si>
  <si>
    <t xml:space="preserve">RNDKLVP</t>
  </si>
  <si>
    <t xml:space="preserve">QTTHLRR</t>
  </si>
  <si>
    <t xml:space="preserve">ESGHLKR</t>
  </si>
  <si>
    <t xml:space="preserve">VDHHLRR</t>
  </si>
  <si>
    <t xml:space="preserve">RRDNLLR</t>
  </si>
  <si>
    <t xml:space="preserve">QDGNLGR</t>
  </si>
  <si>
    <t xml:space="preserve">DPSNLQR</t>
  </si>
  <si>
    <t xml:space="preserve">ISHNLAR</t>
  </si>
  <si>
    <t xml:space="preserve">RTDSLPR</t>
  </si>
  <si>
    <t xml:space="preserve">QTATLKR</t>
  </si>
  <si>
    <t xml:space="preserve">EHRGLKR</t>
  </si>
  <si>
    <t xml:space="preserve">VSNSLAR</t>
  </si>
  <si>
    <t xml:space="preserve">RPDALPR</t>
  </si>
  <si>
    <t xml:space="preserve">QSTSLQR</t>
  </si>
  <si>
    <t xml:space="preserve">DPTSLNR</t>
  </si>
  <si>
    <t xml:space="preserve">INHSLRR</t>
  </si>
  <si>
    <t xml:space="preserve">RMDHLAG</t>
  </si>
  <si>
    <t xml:space="preserve">ANRTLVH</t>
  </si>
  <si>
    <t xml:space="preserve">QRHGLSS</t>
  </si>
  <si>
    <t xml:space="preserve">RPESLAP</t>
  </si>
  <si>
    <t xml:space="preserve">QQGNLRN</t>
  </si>
  <si>
    <t xml:space="preserve">RMDSLGG</t>
  </si>
  <si>
    <t xml:space="preserve">QQTGLNV</t>
  </si>
  <si>
    <t xml:space="preserve">RTEHLAR</t>
  </si>
  <si>
    <t xml:space="preserve">QMSHLKR</t>
  </si>
  <si>
    <t xml:space="preserve">EKSHLKR</t>
  </si>
  <si>
    <t xml:space="preserve">IRHHLKR</t>
  </si>
  <si>
    <t xml:space="preserve">VHWNLMR</t>
  </si>
  <si>
    <t xml:space="preserve">LGENLRR</t>
  </si>
  <si>
    <t xml:space="preserve">REDSLPR</t>
  </si>
  <si>
    <t xml:space="preserve">QDVSLVR</t>
  </si>
  <si>
    <t xml:space="preserve">LKHDLRR</t>
  </si>
  <si>
    <t xml:space="preserve">RNTALQH</t>
  </si>
  <si>
    <t xml:space="preserve">HHNSLTR</t>
  </si>
  <si>
    <t xml:space="preserve">RSDHLSL</t>
  </si>
  <si>
    <t xml:space="preserve">QRRSLGH</t>
  </si>
  <si>
    <t xml:space="preserve">QPHGLAH</t>
  </si>
  <si>
    <t xml:space="preserve">RPEGLST</t>
  </si>
  <si>
    <t xml:space="preserve">QRGNLNM</t>
  </si>
  <si>
    <t xml:space="preserve">RGDSLKK</t>
  </si>
  <si>
    <t xml:space="preserve">RGDKLAL</t>
  </si>
  <si>
    <t xml:space="preserve">QSQHLVR</t>
  </si>
  <si>
    <t xml:space="preserve">MGHHLKR</t>
  </si>
  <si>
    <t xml:space="preserve">RVDNLPR</t>
  </si>
  <si>
    <t xml:space="preserve">QTNNLTR</t>
  </si>
  <si>
    <t xml:space="preserve">LSHNLAR</t>
  </si>
  <si>
    <t xml:space="preserve">RKDGLTR</t>
  </si>
  <si>
    <t xml:space="preserve">QTNTLKR</t>
  </si>
  <si>
    <t xml:space="preserve">RKDALHV</t>
  </si>
  <si>
    <t xml:space="preserve">QTQSLQR</t>
  </si>
  <si>
    <t xml:space="preserve">RTESLHI</t>
  </si>
  <si>
    <t xml:space="preserve">QAHGLTG</t>
  </si>
  <si>
    <t xml:space="preserve">RSDGLRG</t>
  </si>
  <si>
    <t xml:space="preserve">QNSHLRR</t>
  </si>
  <si>
    <t xml:space="preserve">DKSHLPR</t>
  </si>
  <si>
    <t xml:space="preserve">RGDNLKR</t>
  </si>
  <si>
    <t xml:space="preserve">QDGNLTR</t>
  </si>
  <si>
    <t xml:space="preserve">RLDMLAR</t>
  </si>
  <si>
    <t xml:space="preserve">QNGTLTR</t>
  </si>
  <si>
    <t xml:space="preserve">EGSGLKR</t>
  </si>
  <si>
    <t xml:space="preserve">DRSSLRR</t>
  </si>
  <si>
    <t xml:space="preserve">IRTSLKR</t>
  </si>
  <si>
    <t xml:space="preserve">RRDNLPK</t>
  </si>
  <si>
    <t xml:space="preserve">RADGLQL</t>
  </si>
  <si>
    <t xml:space="preserve">RIDKLGG</t>
  </si>
  <si>
    <t xml:space="preserve">QANHLSR</t>
  </si>
  <si>
    <t xml:space="preserve">KNHSLNN</t>
  </si>
  <si>
    <t xml:space="preserve">VKHGLGR</t>
  </si>
  <si>
    <t xml:space="preserve">QRNNLGR</t>
  </si>
  <si>
    <t xml:space="preserve">LNSNLAR</t>
  </si>
  <si>
    <t xml:space="preserve">RHAALLS</t>
  </si>
  <si>
    <t xml:space="preserve">QSNVLSR</t>
  </si>
  <si>
    <t xml:space="preserve">DKSVLAR</t>
  </si>
  <si>
    <t xml:space="preserve">VSNTLTR</t>
  </si>
  <si>
    <t xml:space="preserve">RNVNLVT</t>
  </si>
  <si>
    <t xml:space="preserve">QMNALQR</t>
  </si>
  <si>
    <t xml:space="preserve">DRTPLNR</t>
  </si>
  <si>
    <t xml:space="preserve">QQHGLRH</t>
  </si>
  <si>
    <t xml:space="preserve">RPESLRP</t>
  </si>
  <si>
    <t xml:space="preserve">QGGNLTL</t>
  </si>
  <si>
    <t xml:space="preserve">RTDSLQP</t>
  </si>
  <si>
    <t xml:space="preserve">QRNTLKG</t>
  </si>
  <si>
    <t xml:space="preserve">QTTHLSR</t>
  </si>
  <si>
    <t xml:space="preserve">KNVSLTH</t>
  </si>
  <si>
    <t xml:space="preserve">RRDNLNR</t>
  </si>
  <si>
    <t xml:space="preserve">QTNNLNR</t>
  </si>
  <si>
    <t xml:space="preserve">DMGNLGR</t>
  </si>
  <si>
    <t xml:space="preserve">VGSNLTR</t>
  </si>
  <si>
    <t xml:space="preserve">QGNTLTR</t>
  </si>
  <si>
    <t xml:space="preserve">VGNSLTR</t>
  </si>
  <si>
    <t xml:space="preserve">RNVALGN</t>
  </si>
  <si>
    <t xml:space="preserve">DATQLVR</t>
  </si>
  <si>
    <t xml:space="preserve">VGGSLNR</t>
  </si>
  <si>
    <t xml:space="preserve">QPHGLTA</t>
  </si>
  <si>
    <t xml:space="preserve">RRDHLSL</t>
  </si>
  <si>
    <t xml:space="preserve">QGGNLAL</t>
  </si>
  <si>
    <t xml:space="preserve">RRDGLSG</t>
  </si>
  <si>
    <t xml:space="preserve">RNHGLVR</t>
  </si>
  <si>
    <t xml:space="preserve">QGGHLKR</t>
  </si>
  <si>
    <t xml:space="preserve">REDNLGR</t>
  </si>
  <si>
    <t xml:space="preserve">QSNNLNR</t>
  </si>
  <si>
    <t xml:space="preserve">DQGNLIR</t>
  </si>
  <si>
    <t xml:space="preserve">LGNNLKR</t>
  </si>
  <si>
    <t xml:space="preserve">RRDGLTR</t>
  </si>
  <si>
    <t xml:space="preserve">RGDALAR</t>
  </si>
  <si>
    <t xml:space="preserve">QARSLRA</t>
  </si>
  <si>
    <t xml:space="preserve">QPHGLRA</t>
  </si>
  <si>
    <t xml:space="preserve">RKTGLLI</t>
  </si>
  <si>
    <t xml:space="preserve">QSGNLHT</t>
  </si>
  <si>
    <t xml:space="preserve">RGDKLGP</t>
  </si>
  <si>
    <t xml:space="preserve">QPHHLPR</t>
  </si>
  <si>
    <t xml:space="preserve">REDNLPR</t>
  </si>
  <si>
    <t xml:space="preserve">RVDDLGR</t>
  </si>
  <si>
    <t xml:space="preserve">DHSNLSR</t>
  </si>
  <si>
    <t xml:space="preserve">RRAALGP</t>
  </si>
  <si>
    <t xml:space="preserve">DRTSLAR</t>
  </si>
  <si>
    <t xml:space="preserve">RIDHLVP</t>
  </si>
  <si>
    <t xml:space="preserve">QQGNLQL</t>
  </si>
  <si>
    <t xml:space="preserve">RSDTLPA</t>
  </si>
  <si>
    <t xml:space="preserve">RKHRLDG</t>
  </si>
  <si>
    <t xml:space="preserve">HGHRLKT</t>
  </si>
  <si>
    <t xml:space="preserve">QTNNLGR</t>
  </si>
  <si>
    <t xml:space="preserve">QKGTLGR</t>
  </si>
  <si>
    <t xml:space="preserve">ERRGLAR</t>
  </si>
  <si>
    <t xml:space="preserve">RKTALNR</t>
  </si>
  <si>
    <t xml:space="preserve">QGGALQR</t>
  </si>
  <si>
    <t xml:space="preserve">ESGALRR</t>
  </si>
  <si>
    <t xml:space="preserve">QPHGLGA</t>
  </si>
  <si>
    <t xml:space="preserve">RRDHLSP</t>
  </si>
  <si>
    <t xml:space="preserve">RSDTLPL</t>
  </si>
  <si>
    <t xml:space="preserve">DKRSLPH</t>
  </si>
  <si>
    <t xml:space="preserve">QRNALRG</t>
  </si>
  <si>
    <t xml:space="preserve">QKPHLSR</t>
  </si>
  <si>
    <t xml:space="preserve">DGGHLTR</t>
  </si>
  <si>
    <t xml:space="preserve">RGDNLNR</t>
  </si>
  <si>
    <t xml:space="preserve">QPNTLTR</t>
  </si>
  <si>
    <t xml:space="preserve">QKVSLKR</t>
  </si>
  <si>
    <t xml:space="preserve">TRHSLGR</t>
  </si>
  <si>
    <t xml:space="preserve">QAHGLTA</t>
  </si>
  <si>
    <t xml:space="preserve">RRDGLAG</t>
  </si>
  <si>
    <t xml:space="preserve">ENSKLNR</t>
  </si>
  <si>
    <t xml:space="preserve">LTQGLRR</t>
  </si>
  <si>
    <t xml:space="preserve">QHPNLTR</t>
  </si>
  <si>
    <t xml:space="preserve">EGGNLMR</t>
  </si>
  <si>
    <t xml:space="preserve">LSTNLTR</t>
  </si>
  <si>
    <t xml:space="preserve">QGGTLRR</t>
  </si>
  <si>
    <t xml:space="preserve">QRSDLHR</t>
  </si>
  <si>
    <t xml:space="preserve">RHTSLTR</t>
  </si>
  <si>
    <t xml:space="preserve">EGGALRR</t>
  </si>
  <si>
    <t xml:space="preserve">QGRSLRA</t>
  </si>
  <si>
    <t xml:space="preserve">RHDGLAG</t>
  </si>
  <si>
    <t xml:space="preserve">ESGHLRR</t>
  </si>
  <si>
    <t xml:space="preserve">RQDNLQR</t>
  </si>
  <si>
    <t xml:space="preserve">LTHNLRR</t>
  </si>
  <si>
    <t xml:space="preserve">LRASLRR</t>
  </si>
  <si>
    <t xml:space="preserve">QSGTLTR</t>
  </si>
  <si>
    <t xml:space="preserve">QQRSLKN</t>
  </si>
  <si>
    <t xml:space="preserve">QPHGLRH</t>
  </si>
  <si>
    <t xml:space="preserve">RQGHLKR</t>
  </si>
  <si>
    <t xml:space="preserve">VKHGLTR</t>
  </si>
  <si>
    <t xml:space="preserve">QTVNLDR</t>
  </si>
  <si>
    <t xml:space="preserve">RPDGLAR</t>
  </si>
  <si>
    <t xml:space="preserve">ERRGLHR</t>
  </si>
  <si>
    <t xml:space="preserve">VGASLKR</t>
  </si>
  <si>
    <t xml:space="preserve">VGHNLSR</t>
  </si>
  <si>
    <t xml:space="preserve">RRDDLTR</t>
  </si>
  <si>
    <t xml:space="preserve">QDNTLRR</t>
  </si>
  <si>
    <t xml:space="preserve">VKNTLTR</t>
  </si>
  <si>
    <t xml:space="preserve">RTVALNR</t>
  </si>
  <si>
    <t xml:space="preserve">QGTSLAR</t>
  </si>
  <si>
    <t xml:space="preserve">RLDGLAG</t>
  </si>
  <si>
    <t xml:space="preserve">RIDNLGR</t>
  </si>
  <si>
    <t xml:space="preserve">RTDLLRR</t>
  </si>
  <si>
    <t xml:space="preserve">QQGNLGL</t>
  </si>
  <si>
    <t xml:space="preserve">RHDQLTR</t>
  </si>
  <si>
    <t xml:space="preserve">DRTPLQR</t>
  </si>
  <si>
    <t xml:space="preserve">QNRSLAH</t>
  </si>
  <si>
    <t xml:space="preserve">QRNALSG</t>
  </si>
  <si>
    <t xml:space="preserve">EKSHLTR</t>
  </si>
  <si>
    <r>
      <rPr>
        <b val="true"/>
        <sz val="9"/>
        <color rgb="FF000000"/>
        <rFont val="Arial"/>
        <family val="0"/>
        <charset val="1"/>
      </rPr>
      <t xml:space="preserve">F3 units </t>
    </r>
    <r>
      <rPr>
        <b val="true"/>
        <sz val="9"/>
        <color rgb="FF000000"/>
        <rFont val="Noto Sans CJK SC"/>
        <family val="2"/>
      </rPr>
      <t xml:space="preserve">合計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</si>
</sst>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Noto Sans CJK SC"/>
      <family val="2"/>
    </font>
    <font>
      <sz val="10"/>
      <color rgb="FF000000"/>
      <name val="Arial"/>
      <family val="0"/>
      <charset val="1"/>
    </font>
    <font>
      <sz val="10"/>
      <color rgb="FF000000"/>
      <name val="Noto Sans CJK SC"/>
      <family val="2"/>
    </font>
    <font>
      <b val="true"/>
      <sz val="12"/>
      <color rgb="FF000000"/>
      <name val="Arial"/>
      <family val="0"/>
      <charset val="1"/>
    </font>
    <font>
      <sz val="9"/>
      <color rgb="FF606070"/>
      <name val="Noto Sans CJK SC"/>
      <family val="2"/>
    </font>
    <font>
      <sz val="9"/>
      <color rgb="FF60607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3A3A48"/>
        <bgColor rgb="FF333300"/>
      </patternFill>
    </fill>
    <fill>
      <patternFill patternType="solid">
        <fgColor rgb="FFE4E4EC"/>
        <bgColor rgb="FFEFE6F7"/>
      </patternFill>
    </fill>
    <fill>
      <patternFill patternType="solid">
        <fgColor rgb="FFEFE6F7"/>
        <bgColor rgb="FFE4E4EC"/>
      </patternFill>
    </fill>
    <fill>
      <patternFill patternType="solid">
        <fgColor rgb="FFFFD980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8E0"/>
      </left>
      <right style="thin">
        <color rgb="FFD8D8E0"/>
      </right>
      <top style="thin">
        <color rgb="FFD8D8E0"/>
      </top>
      <bottom style="thin">
        <color rgb="FFD8D8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E6F7"/>
      <rgbColor rgb="FFE4E4EC"/>
      <rgbColor rgb="FF660066"/>
      <rgbColor rgb="FFFF8080"/>
      <rgbColor rgb="FF0066CC"/>
      <rgbColor rgb="FFD8D8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80"/>
      <rgbColor rgb="FF3366FF"/>
      <rgbColor rgb="FF33CCCC"/>
      <rgbColor rgb="FF99CC00"/>
      <rgbColor rgb="FFFFCC00"/>
      <rgbColor rgb="FFFF9900"/>
      <rgbColor rgb="FFFF6600"/>
      <rgbColor rgb="FF60607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A3A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1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1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1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1" t="s">
        <v>20</v>
      </c>
    </row>
    <row r="26" customFormat="false" ht="15" hidden="false" customHeight="false" outlineLevel="0" collapsed="false">
      <c r="A26" s="2" t="s">
        <v>21</v>
      </c>
    </row>
    <row r="27" customFormat="false" ht="15" hidden="false" customHeight="false" outlineLevel="0" collapsed="false">
      <c r="A27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27" min="3" style="0" width="9.51"/>
  </cols>
  <sheetData>
    <row r="1" customFormat="false" ht="15" hidden="false" customHeight="false" outlineLevel="0" collapsed="false">
      <c r="A1" s="4" t="s">
        <v>23</v>
      </c>
    </row>
    <row r="2" customFormat="false" ht="15" hidden="false" customHeight="false" outlineLevel="0" collapsed="false">
      <c r="A2" s="5" t="s">
        <v>24</v>
      </c>
    </row>
    <row r="3" customFormat="false" ht="15" hidden="false" customHeight="false" outlineLevel="0" collapsed="false">
      <c r="A3" s="5" t="s">
        <v>25</v>
      </c>
    </row>
    <row r="4" customFormat="false" ht="15" hidden="false" customHeight="false" outlineLevel="0" collapsed="false">
      <c r="A4" s="5" t="s">
        <v>26</v>
      </c>
    </row>
    <row r="6" customFormat="false" ht="15" hidden="false" customHeight="false" outlineLevel="0" collapsed="false">
      <c r="A6" s="6" t="s">
        <v>27</v>
      </c>
      <c r="B6" s="7" t="s">
        <v>28</v>
      </c>
      <c r="C6" s="6" t="s">
        <v>29</v>
      </c>
      <c r="D6" s="6" t="s">
        <v>30</v>
      </c>
      <c r="E6" s="6" t="s">
        <v>31</v>
      </c>
      <c r="F6" s="6" t="s">
        <v>32</v>
      </c>
      <c r="G6" s="6" t="s">
        <v>33</v>
      </c>
      <c r="H6" s="6" t="s">
        <v>34</v>
      </c>
      <c r="I6" s="6" t="s">
        <v>35</v>
      </c>
      <c r="J6" s="6" t="s">
        <v>36</v>
      </c>
      <c r="K6" s="6" t="s">
        <v>37</v>
      </c>
      <c r="L6" s="6" t="s">
        <v>38</v>
      </c>
      <c r="M6" s="6" t="s">
        <v>39</v>
      </c>
      <c r="N6" s="6" t="s">
        <v>40</v>
      </c>
      <c r="O6" s="6" t="s">
        <v>41</v>
      </c>
      <c r="P6" s="6" t="s">
        <v>42</v>
      </c>
      <c r="Q6" s="6" t="s">
        <v>43</v>
      </c>
      <c r="R6" s="6" t="s">
        <v>44</v>
      </c>
      <c r="S6" s="6" t="s">
        <v>45</v>
      </c>
      <c r="T6" s="6" t="s">
        <v>46</v>
      </c>
      <c r="U6" s="6" t="s">
        <v>47</v>
      </c>
      <c r="V6" s="6" t="s">
        <v>48</v>
      </c>
      <c r="W6" s="6" t="s">
        <v>49</v>
      </c>
      <c r="X6" s="6" t="s">
        <v>50</v>
      </c>
      <c r="Y6" s="6" t="s">
        <v>51</v>
      </c>
      <c r="Z6" s="6" t="s">
        <v>52</v>
      </c>
      <c r="AA6" s="6" t="s">
        <v>53</v>
      </c>
    </row>
    <row r="7" customFormat="false" ht="15" hidden="false" customHeight="false" outlineLevel="0" collapsed="false">
      <c r="A7" s="8" t="s">
        <v>54</v>
      </c>
      <c r="B7" s="9" t="n">
        <f aca="false">COUNTA(C7:AA7)</f>
        <v>20</v>
      </c>
      <c r="C7" s="10" t="s">
        <v>55</v>
      </c>
      <c r="D7" s="10" t="s">
        <v>56</v>
      </c>
      <c r="E7" s="10" t="s">
        <v>57</v>
      </c>
      <c r="F7" s="10" t="s">
        <v>58</v>
      </c>
      <c r="G7" s="10" t="s">
        <v>59</v>
      </c>
      <c r="H7" s="10" t="s">
        <v>60</v>
      </c>
      <c r="I7" s="10" t="s">
        <v>61</v>
      </c>
      <c r="J7" s="11"/>
      <c r="K7" s="10" t="s">
        <v>62</v>
      </c>
      <c r="L7" s="10" t="s">
        <v>63</v>
      </c>
      <c r="M7" s="10" t="s">
        <v>64</v>
      </c>
      <c r="N7" s="10" t="s">
        <v>65</v>
      </c>
      <c r="O7" s="10" t="s">
        <v>66</v>
      </c>
      <c r="P7" s="10" t="s">
        <v>67</v>
      </c>
      <c r="Q7" s="10" t="s">
        <v>68</v>
      </c>
      <c r="R7" s="10" t="s">
        <v>69</v>
      </c>
      <c r="S7" s="11"/>
      <c r="T7" s="10" t="s">
        <v>70</v>
      </c>
      <c r="U7" s="10" t="s">
        <v>71</v>
      </c>
      <c r="V7" s="10" t="s">
        <v>72</v>
      </c>
      <c r="W7" s="10" t="s">
        <v>73</v>
      </c>
      <c r="X7" s="11"/>
      <c r="Y7" s="10" t="s">
        <v>74</v>
      </c>
      <c r="Z7" s="11"/>
      <c r="AA7" s="11"/>
    </row>
    <row r="8" customFormat="false" ht="15" hidden="false" customHeight="false" outlineLevel="0" collapsed="false">
      <c r="A8" s="8" t="s">
        <v>75</v>
      </c>
      <c r="B8" s="9" t="n">
        <f aca="false">COUNTA(C8:AA8)</f>
        <v>23</v>
      </c>
      <c r="C8" s="10" t="s">
        <v>76</v>
      </c>
      <c r="D8" s="10" t="s">
        <v>77</v>
      </c>
      <c r="E8" s="10" t="s">
        <v>78</v>
      </c>
      <c r="F8" s="10" t="s">
        <v>79</v>
      </c>
      <c r="G8" s="10" t="s">
        <v>80</v>
      </c>
      <c r="H8" s="12" t="s">
        <v>81</v>
      </c>
      <c r="I8" s="10" t="s">
        <v>82</v>
      </c>
      <c r="J8" s="10" t="s">
        <v>83</v>
      </c>
      <c r="K8" s="10" t="s">
        <v>71</v>
      </c>
      <c r="L8" s="10" t="s">
        <v>84</v>
      </c>
      <c r="M8" s="10" t="s">
        <v>85</v>
      </c>
      <c r="N8" s="10" t="s">
        <v>86</v>
      </c>
      <c r="O8" s="10" t="s">
        <v>87</v>
      </c>
      <c r="P8" s="10" t="s">
        <v>88</v>
      </c>
      <c r="Q8" s="10" t="s">
        <v>89</v>
      </c>
      <c r="R8" s="10" t="s">
        <v>90</v>
      </c>
      <c r="S8" s="10" t="s">
        <v>91</v>
      </c>
      <c r="T8" s="10" t="s">
        <v>92</v>
      </c>
      <c r="U8" s="10" t="s">
        <v>93</v>
      </c>
      <c r="V8" s="10" t="s">
        <v>94</v>
      </c>
      <c r="W8" s="10" t="s">
        <v>95</v>
      </c>
      <c r="X8" s="10" t="s">
        <v>96</v>
      </c>
      <c r="Y8" s="11"/>
      <c r="Z8" s="11"/>
      <c r="AA8" s="10" t="s">
        <v>97</v>
      </c>
    </row>
    <row r="9" customFormat="false" ht="15" hidden="false" customHeight="false" outlineLevel="0" collapsed="false">
      <c r="A9" s="8" t="s">
        <v>98</v>
      </c>
      <c r="B9" s="9" t="n">
        <f aca="false">COUNTA(C9:AA9)</f>
        <v>14</v>
      </c>
      <c r="C9" s="10" t="s">
        <v>55</v>
      </c>
      <c r="D9" s="10" t="s">
        <v>99</v>
      </c>
      <c r="E9" s="10" t="s">
        <v>100</v>
      </c>
      <c r="F9" s="10" t="s">
        <v>58</v>
      </c>
      <c r="G9" s="11"/>
      <c r="H9" s="10" t="s">
        <v>101</v>
      </c>
      <c r="I9" s="10" t="s">
        <v>102</v>
      </c>
      <c r="J9" s="11"/>
      <c r="K9" s="10" t="s">
        <v>103</v>
      </c>
      <c r="L9" s="10" t="s">
        <v>104</v>
      </c>
      <c r="M9" s="10" t="s">
        <v>105</v>
      </c>
      <c r="N9" s="10" t="s">
        <v>106</v>
      </c>
      <c r="O9" s="10" t="s">
        <v>66</v>
      </c>
      <c r="P9" s="10" t="s">
        <v>67</v>
      </c>
      <c r="Q9" s="10" t="s">
        <v>107</v>
      </c>
      <c r="R9" s="10" t="s">
        <v>89</v>
      </c>
      <c r="S9" s="11"/>
      <c r="T9" s="11"/>
      <c r="U9" s="11"/>
      <c r="V9" s="11"/>
      <c r="W9" s="11"/>
      <c r="X9" s="11"/>
      <c r="Y9" s="11"/>
      <c r="Z9" s="11"/>
      <c r="AA9" s="11"/>
    </row>
    <row r="10" customFormat="false" ht="15" hidden="false" customHeight="false" outlineLevel="0" collapsed="false">
      <c r="A10" s="8" t="s">
        <v>108</v>
      </c>
      <c r="B10" s="9" t="n">
        <f aca="false">COUNTA(C10:AA10)</f>
        <v>18</v>
      </c>
      <c r="C10" s="10" t="s">
        <v>109</v>
      </c>
      <c r="D10" s="10" t="s">
        <v>110</v>
      </c>
      <c r="E10" s="10" t="s">
        <v>111</v>
      </c>
      <c r="F10" s="10" t="s">
        <v>112</v>
      </c>
      <c r="G10" s="10" t="s">
        <v>59</v>
      </c>
      <c r="H10" s="10" t="s">
        <v>113</v>
      </c>
      <c r="I10" s="10" t="s">
        <v>61</v>
      </c>
      <c r="J10" s="11"/>
      <c r="K10" s="10" t="s">
        <v>114</v>
      </c>
      <c r="L10" s="10" t="s">
        <v>115</v>
      </c>
      <c r="M10" s="10" t="s">
        <v>116</v>
      </c>
      <c r="N10" s="10" t="s">
        <v>117</v>
      </c>
      <c r="O10" s="10" t="s">
        <v>118</v>
      </c>
      <c r="P10" s="10" t="s">
        <v>119</v>
      </c>
      <c r="Q10" s="10" t="s">
        <v>120</v>
      </c>
      <c r="R10" s="10" t="s">
        <v>121</v>
      </c>
      <c r="S10" s="10" t="s">
        <v>122</v>
      </c>
      <c r="T10" s="10" t="s">
        <v>123</v>
      </c>
      <c r="U10" s="10" t="s">
        <v>71</v>
      </c>
      <c r="V10" s="11"/>
      <c r="W10" s="11"/>
      <c r="X10" s="11"/>
      <c r="Y10" s="11"/>
      <c r="Z10" s="11"/>
      <c r="AA10" s="11"/>
    </row>
    <row r="11" customFormat="false" ht="15" hidden="false" customHeight="false" outlineLevel="0" collapsed="false">
      <c r="A11" s="8" t="s">
        <v>124</v>
      </c>
      <c r="B11" s="9" t="n">
        <f aca="false">COUNTA(C11:AA11)</f>
        <v>21</v>
      </c>
      <c r="C11" s="10" t="s">
        <v>125</v>
      </c>
      <c r="D11" s="10" t="s">
        <v>110</v>
      </c>
      <c r="E11" s="10" t="s">
        <v>126</v>
      </c>
      <c r="F11" s="10" t="s">
        <v>127</v>
      </c>
      <c r="G11" s="10" t="s">
        <v>128</v>
      </c>
      <c r="H11" s="10" t="s">
        <v>129</v>
      </c>
      <c r="I11" s="10" t="s">
        <v>82</v>
      </c>
      <c r="J11" s="11"/>
      <c r="K11" s="10" t="s">
        <v>130</v>
      </c>
      <c r="L11" s="10" t="s">
        <v>131</v>
      </c>
      <c r="M11" s="10" t="s">
        <v>132</v>
      </c>
      <c r="N11" s="10" t="s">
        <v>133</v>
      </c>
      <c r="O11" s="10" t="s">
        <v>134</v>
      </c>
      <c r="P11" s="10" t="s">
        <v>135</v>
      </c>
      <c r="Q11" s="10" t="s">
        <v>136</v>
      </c>
      <c r="R11" s="10" t="s">
        <v>137</v>
      </c>
      <c r="S11" s="11"/>
      <c r="T11" s="10" t="s">
        <v>138</v>
      </c>
      <c r="U11" s="10" t="s">
        <v>139</v>
      </c>
      <c r="V11" s="10" t="s">
        <v>140</v>
      </c>
      <c r="W11" s="10" t="s">
        <v>141</v>
      </c>
      <c r="X11" s="11"/>
      <c r="Y11" s="10" t="s">
        <v>74</v>
      </c>
      <c r="Z11" s="10" t="s">
        <v>142</v>
      </c>
      <c r="AA11" s="11"/>
    </row>
    <row r="12" customFormat="false" ht="15" hidden="false" customHeight="false" outlineLevel="0" collapsed="false">
      <c r="A12" s="8" t="s">
        <v>143</v>
      </c>
      <c r="B12" s="9" t="n">
        <f aca="false">COUNTA(C12:AA12)</f>
        <v>22</v>
      </c>
      <c r="C12" s="10" t="s">
        <v>144</v>
      </c>
      <c r="D12" s="12" t="s">
        <v>145</v>
      </c>
      <c r="E12" s="10" t="s">
        <v>146</v>
      </c>
      <c r="F12" s="10" t="s">
        <v>147</v>
      </c>
      <c r="G12" s="10" t="s">
        <v>80</v>
      </c>
      <c r="H12" s="10" t="s">
        <v>148</v>
      </c>
      <c r="I12" s="10" t="s">
        <v>82</v>
      </c>
      <c r="J12" s="10" t="s">
        <v>149</v>
      </c>
      <c r="K12" s="10" t="s">
        <v>150</v>
      </c>
      <c r="L12" s="10" t="s">
        <v>151</v>
      </c>
      <c r="M12" s="10" t="s">
        <v>85</v>
      </c>
      <c r="N12" s="10" t="s">
        <v>152</v>
      </c>
      <c r="O12" s="10" t="s">
        <v>153</v>
      </c>
      <c r="P12" s="10" t="s">
        <v>154</v>
      </c>
      <c r="Q12" s="10" t="s">
        <v>155</v>
      </c>
      <c r="R12" s="10" t="s">
        <v>89</v>
      </c>
      <c r="S12" s="10" t="s">
        <v>156</v>
      </c>
      <c r="T12" s="10" t="s">
        <v>157</v>
      </c>
      <c r="U12" s="10" t="s">
        <v>158</v>
      </c>
      <c r="V12" s="10" t="s">
        <v>72</v>
      </c>
      <c r="W12" s="10" t="s">
        <v>95</v>
      </c>
      <c r="X12" s="10" t="s">
        <v>159</v>
      </c>
      <c r="Y12" s="11"/>
      <c r="Z12" s="11"/>
      <c r="AA12" s="11"/>
    </row>
    <row r="13" customFormat="false" ht="15" hidden="false" customHeight="false" outlineLevel="0" collapsed="false">
      <c r="A13" s="8" t="s">
        <v>160</v>
      </c>
      <c r="B13" s="9" t="n">
        <f aca="false">COUNTA(C13:AA13)</f>
        <v>20</v>
      </c>
      <c r="C13" s="10" t="s">
        <v>76</v>
      </c>
      <c r="D13" s="10" t="s">
        <v>161</v>
      </c>
      <c r="E13" s="10" t="s">
        <v>162</v>
      </c>
      <c r="F13" s="11"/>
      <c r="G13" s="10" t="s">
        <v>163</v>
      </c>
      <c r="H13" s="10" t="s">
        <v>81</v>
      </c>
      <c r="I13" s="10" t="s">
        <v>164</v>
      </c>
      <c r="J13" s="11"/>
      <c r="K13" s="10" t="s">
        <v>165</v>
      </c>
      <c r="L13" s="10" t="s">
        <v>166</v>
      </c>
      <c r="M13" s="10" t="s">
        <v>167</v>
      </c>
      <c r="N13" s="10" t="s">
        <v>168</v>
      </c>
      <c r="O13" s="10" t="s">
        <v>169</v>
      </c>
      <c r="P13" s="10" t="s">
        <v>135</v>
      </c>
      <c r="Q13" s="10" t="s">
        <v>68</v>
      </c>
      <c r="R13" s="10" t="s">
        <v>170</v>
      </c>
      <c r="S13" s="10" t="s">
        <v>171</v>
      </c>
      <c r="T13" s="10" t="s">
        <v>138</v>
      </c>
      <c r="U13" s="10" t="s">
        <v>172</v>
      </c>
      <c r="V13" s="10" t="s">
        <v>173</v>
      </c>
      <c r="W13" s="10" t="s">
        <v>174</v>
      </c>
      <c r="X13" s="10" t="s">
        <v>175</v>
      </c>
      <c r="Y13" s="11"/>
      <c r="Z13" s="11"/>
      <c r="AA13" s="11"/>
    </row>
    <row r="14" customFormat="false" ht="15" hidden="false" customHeight="false" outlineLevel="0" collapsed="false">
      <c r="A14" s="8" t="s">
        <v>176</v>
      </c>
      <c r="B14" s="9" t="n">
        <f aca="false">COUNTA(C14:AA14)</f>
        <v>22</v>
      </c>
      <c r="C14" s="10" t="s">
        <v>76</v>
      </c>
      <c r="D14" s="10" t="s">
        <v>177</v>
      </c>
      <c r="E14" s="10" t="s">
        <v>178</v>
      </c>
      <c r="F14" s="10" t="s">
        <v>179</v>
      </c>
      <c r="G14" s="10" t="s">
        <v>180</v>
      </c>
      <c r="H14" s="10" t="s">
        <v>113</v>
      </c>
      <c r="I14" s="10" t="s">
        <v>181</v>
      </c>
      <c r="J14" s="10" t="s">
        <v>182</v>
      </c>
      <c r="K14" s="10" t="s">
        <v>183</v>
      </c>
      <c r="L14" s="10" t="s">
        <v>184</v>
      </c>
      <c r="M14" s="10" t="s">
        <v>185</v>
      </c>
      <c r="N14" s="10" t="s">
        <v>186</v>
      </c>
      <c r="O14" s="10" t="s">
        <v>187</v>
      </c>
      <c r="P14" s="10" t="s">
        <v>135</v>
      </c>
      <c r="Q14" s="10" t="s">
        <v>188</v>
      </c>
      <c r="R14" s="10" t="s">
        <v>189</v>
      </c>
      <c r="S14" s="10" t="s">
        <v>190</v>
      </c>
      <c r="T14" s="10" t="s">
        <v>138</v>
      </c>
      <c r="U14" s="10" t="s">
        <v>172</v>
      </c>
      <c r="V14" s="10" t="s">
        <v>191</v>
      </c>
      <c r="W14" s="10" t="s">
        <v>192</v>
      </c>
      <c r="X14" s="10" t="s">
        <v>175</v>
      </c>
      <c r="Y14" s="11"/>
      <c r="Z14" s="11"/>
      <c r="AA14" s="11"/>
    </row>
    <row r="15" customFormat="false" ht="15" hidden="false" customHeight="false" outlineLevel="0" collapsed="false">
      <c r="A15" s="8" t="s">
        <v>193</v>
      </c>
      <c r="B15" s="9" t="n">
        <f aca="false">COUNTA(C15:AA15)</f>
        <v>21</v>
      </c>
      <c r="C15" s="10" t="s">
        <v>194</v>
      </c>
      <c r="D15" s="10" t="s">
        <v>195</v>
      </c>
      <c r="E15" s="10" t="s">
        <v>196</v>
      </c>
      <c r="F15" s="10" t="s">
        <v>197</v>
      </c>
      <c r="G15" s="10" t="s">
        <v>198</v>
      </c>
      <c r="H15" s="10" t="s">
        <v>199</v>
      </c>
      <c r="I15" s="10" t="s">
        <v>200</v>
      </c>
      <c r="J15" s="11"/>
      <c r="K15" s="10" t="s">
        <v>201</v>
      </c>
      <c r="L15" s="10" t="s">
        <v>202</v>
      </c>
      <c r="M15" s="10" t="s">
        <v>203</v>
      </c>
      <c r="N15" s="10" t="s">
        <v>204</v>
      </c>
      <c r="O15" s="10" t="s">
        <v>205</v>
      </c>
      <c r="P15" s="10" t="s">
        <v>119</v>
      </c>
      <c r="Q15" s="10" t="s">
        <v>155</v>
      </c>
      <c r="R15" s="10" t="s">
        <v>206</v>
      </c>
      <c r="S15" s="10" t="s">
        <v>207</v>
      </c>
      <c r="T15" s="10" t="s">
        <v>208</v>
      </c>
      <c r="U15" s="10" t="s">
        <v>209</v>
      </c>
      <c r="V15" s="10" t="s">
        <v>210</v>
      </c>
      <c r="W15" s="10" t="s">
        <v>95</v>
      </c>
      <c r="X15" s="11"/>
      <c r="Y15" s="10" t="s">
        <v>74</v>
      </c>
      <c r="Z15" s="11"/>
      <c r="AA15" s="11"/>
    </row>
    <row r="16" customFormat="false" ht="15" hidden="false" customHeight="false" outlineLevel="0" collapsed="false">
      <c r="A16" s="8" t="s">
        <v>211</v>
      </c>
      <c r="B16" s="9" t="n">
        <f aca="false">COUNTA(C16:AA16)</f>
        <v>21</v>
      </c>
      <c r="C16" s="10" t="s">
        <v>212</v>
      </c>
      <c r="D16" s="10" t="s">
        <v>77</v>
      </c>
      <c r="E16" s="10" t="s">
        <v>78</v>
      </c>
      <c r="F16" s="10" t="s">
        <v>213</v>
      </c>
      <c r="G16" s="10" t="s">
        <v>214</v>
      </c>
      <c r="H16" s="10" t="s">
        <v>215</v>
      </c>
      <c r="I16" s="10" t="s">
        <v>181</v>
      </c>
      <c r="J16" s="10" t="s">
        <v>216</v>
      </c>
      <c r="K16" s="10" t="s">
        <v>217</v>
      </c>
      <c r="L16" s="10" t="s">
        <v>218</v>
      </c>
      <c r="M16" s="10" t="s">
        <v>203</v>
      </c>
      <c r="N16" s="10" t="s">
        <v>219</v>
      </c>
      <c r="O16" s="10" t="s">
        <v>220</v>
      </c>
      <c r="P16" s="10" t="s">
        <v>221</v>
      </c>
      <c r="Q16" s="10" t="s">
        <v>107</v>
      </c>
      <c r="R16" s="11"/>
      <c r="S16" s="10" t="s">
        <v>222</v>
      </c>
      <c r="T16" s="10" t="s">
        <v>138</v>
      </c>
      <c r="U16" s="10" t="s">
        <v>209</v>
      </c>
      <c r="V16" s="10" t="s">
        <v>223</v>
      </c>
      <c r="W16" s="10" t="s">
        <v>95</v>
      </c>
      <c r="X16" s="12" t="s">
        <v>224</v>
      </c>
      <c r="Y16" s="11"/>
      <c r="Z16" s="11"/>
      <c r="AA16" s="11"/>
    </row>
    <row r="17" customFormat="false" ht="15" hidden="false" customHeight="false" outlineLevel="0" collapsed="false">
      <c r="A17" s="8" t="s">
        <v>225</v>
      </c>
      <c r="B17" s="9" t="n">
        <f aca="false">COUNTA(C17:AA17)</f>
        <v>18</v>
      </c>
      <c r="C17" s="10" t="s">
        <v>109</v>
      </c>
      <c r="D17" s="10" t="s">
        <v>226</v>
      </c>
      <c r="E17" s="10" t="s">
        <v>227</v>
      </c>
      <c r="F17" s="10" t="s">
        <v>58</v>
      </c>
      <c r="G17" s="10" t="s">
        <v>228</v>
      </c>
      <c r="H17" s="10" t="s">
        <v>229</v>
      </c>
      <c r="I17" s="10" t="s">
        <v>102</v>
      </c>
      <c r="J17" s="11"/>
      <c r="K17" s="10" t="s">
        <v>150</v>
      </c>
      <c r="L17" s="10" t="s">
        <v>230</v>
      </c>
      <c r="M17" s="10" t="s">
        <v>231</v>
      </c>
      <c r="N17" s="10" t="s">
        <v>232</v>
      </c>
      <c r="O17" s="10" t="s">
        <v>153</v>
      </c>
      <c r="P17" s="10" t="s">
        <v>221</v>
      </c>
      <c r="Q17" s="10" t="s">
        <v>233</v>
      </c>
      <c r="R17" s="10" t="s">
        <v>137</v>
      </c>
      <c r="S17" s="11"/>
      <c r="T17" s="11"/>
      <c r="U17" s="11"/>
      <c r="V17" s="10" t="s">
        <v>234</v>
      </c>
      <c r="W17" s="10" t="s">
        <v>73</v>
      </c>
      <c r="X17" s="10" t="s">
        <v>235</v>
      </c>
      <c r="Y17" s="11"/>
      <c r="Z17" s="11"/>
      <c r="AA17" s="11"/>
    </row>
    <row r="18" customFormat="false" ht="15" hidden="false" customHeight="false" outlineLevel="0" collapsed="false">
      <c r="A18" s="8" t="s">
        <v>236</v>
      </c>
      <c r="B18" s="9" t="n">
        <f aca="false">COUNTA(C18:AA18)</f>
        <v>17</v>
      </c>
      <c r="C18" s="10" t="s">
        <v>76</v>
      </c>
      <c r="D18" s="10" t="s">
        <v>161</v>
      </c>
      <c r="E18" s="10" t="s">
        <v>237</v>
      </c>
      <c r="F18" s="10" t="s">
        <v>238</v>
      </c>
      <c r="G18" s="10" t="s">
        <v>80</v>
      </c>
      <c r="H18" s="10" t="s">
        <v>239</v>
      </c>
      <c r="I18" s="10" t="s">
        <v>240</v>
      </c>
      <c r="J18" s="11"/>
      <c r="K18" s="10" t="s">
        <v>241</v>
      </c>
      <c r="L18" s="10" t="s">
        <v>242</v>
      </c>
      <c r="M18" s="10" t="s">
        <v>243</v>
      </c>
      <c r="N18" s="10" t="s">
        <v>244</v>
      </c>
      <c r="O18" s="10" t="s">
        <v>153</v>
      </c>
      <c r="P18" s="10" t="s">
        <v>67</v>
      </c>
      <c r="Q18" s="10" t="s">
        <v>120</v>
      </c>
      <c r="R18" s="10" t="s">
        <v>245</v>
      </c>
      <c r="S18" s="10" t="s">
        <v>207</v>
      </c>
      <c r="T18" s="11"/>
      <c r="U18" s="11"/>
      <c r="V18" s="11"/>
      <c r="W18" s="10" t="s">
        <v>192</v>
      </c>
      <c r="X18" s="11"/>
      <c r="Y18" s="11"/>
      <c r="Z18" s="11"/>
      <c r="AA18" s="11"/>
    </row>
    <row r="19" customFormat="false" ht="15" hidden="false" customHeight="false" outlineLevel="0" collapsed="false">
      <c r="A19" s="8" t="s">
        <v>246</v>
      </c>
      <c r="B19" s="9" t="n">
        <f aca="false">COUNTA(C19:AA19)</f>
        <v>16</v>
      </c>
      <c r="C19" s="10" t="s">
        <v>76</v>
      </c>
      <c r="D19" s="10" t="s">
        <v>110</v>
      </c>
      <c r="E19" s="10" t="s">
        <v>126</v>
      </c>
      <c r="F19" s="10" t="s">
        <v>79</v>
      </c>
      <c r="G19" s="10" t="s">
        <v>80</v>
      </c>
      <c r="H19" s="10" t="s">
        <v>247</v>
      </c>
      <c r="I19" s="10" t="s">
        <v>82</v>
      </c>
      <c r="J19" s="11"/>
      <c r="K19" s="10" t="s">
        <v>248</v>
      </c>
      <c r="L19" s="11"/>
      <c r="M19" s="10" t="s">
        <v>249</v>
      </c>
      <c r="N19" s="10" t="s">
        <v>250</v>
      </c>
      <c r="O19" s="10" t="s">
        <v>251</v>
      </c>
      <c r="P19" s="11"/>
      <c r="Q19" s="10" t="s">
        <v>252</v>
      </c>
      <c r="R19" s="10" t="s">
        <v>253</v>
      </c>
      <c r="S19" s="11"/>
      <c r="T19" s="10" t="s">
        <v>254</v>
      </c>
      <c r="U19" s="10" t="s">
        <v>255</v>
      </c>
      <c r="V19" s="11"/>
      <c r="W19" s="10" t="s">
        <v>256</v>
      </c>
      <c r="X19" s="11"/>
      <c r="Y19" s="11"/>
      <c r="Z19" s="11"/>
      <c r="AA19" s="11"/>
    </row>
    <row r="20" customFormat="false" ht="15" hidden="false" customHeight="false" outlineLevel="0" collapsed="false">
      <c r="A20" s="8" t="s">
        <v>257</v>
      </c>
      <c r="B20" s="9" t="n">
        <f aca="false">COUNTA(C20:AA20)</f>
        <v>22</v>
      </c>
      <c r="C20" s="10" t="s">
        <v>258</v>
      </c>
      <c r="D20" s="10" t="s">
        <v>110</v>
      </c>
      <c r="E20" s="10" t="s">
        <v>126</v>
      </c>
      <c r="F20" s="10" t="s">
        <v>259</v>
      </c>
      <c r="G20" s="10" t="s">
        <v>80</v>
      </c>
      <c r="H20" s="10" t="s">
        <v>101</v>
      </c>
      <c r="I20" s="10" t="s">
        <v>260</v>
      </c>
      <c r="J20" s="10" t="s">
        <v>261</v>
      </c>
      <c r="K20" s="10" t="s">
        <v>262</v>
      </c>
      <c r="L20" s="10" t="s">
        <v>242</v>
      </c>
      <c r="M20" s="10" t="s">
        <v>231</v>
      </c>
      <c r="N20" s="10" t="s">
        <v>263</v>
      </c>
      <c r="O20" s="10" t="s">
        <v>187</v>
      </c>
      <c r="P20" s="10" t="s">
        <v>119</v>
      </c>
      <c r="Q20" s="10" t="s">
        <v>264</v>
      </c>
      <c r="R20" s="10" t="s">
        <v>265</v>
      </c>
      <c r="S20" s="10" t="s">
        <v>266</v>
      </c>
      <c r="T20" s="10" t="s">
        <v>267</v>
      </c>
      <c r="U20" s="10" t="s">
        <v>255</v>
      </c>
      <c r="V20" s="10" t="s">
        <v>268</v>
      </c>
      <c r="W20" s="10" t="s">
        <v>174</v>
      </c>
      <c r="X20" s="10" t="s">
        <v>269</v>
      </c>
      <c r="Y20" s="11"/>
      <c r="Z20" s="11"/>
      <c r="AA20" s="11"/>
    </row>
    <row r="21" customFormat="false" ht="15" hidden="false" customHeight="false" outlineLevel="0" collapsed="false">
      <c r="A21" s="8" t="s">
        <v>270</v>
      </c>
      <c r="B21" s="9" t="n">
        <f aca="false">COUNTA(C21:AA21)</f>
        <v>18</v>
      </c>
      <c r="C21" s="10" t="s">
        <v>76</v>
      </c>
      <c r="D21" s="10" t="s">
        <v>99</v>
      </c>
      <c r="E21" s="10" t="s">
        <v>271</v>
      </c>
      <c r="F21" s="10" t="s">
        <v>272</v>
      </c>
      <c r="G21" s="10" t="s">
        <v>273</v>
      </c>
      <c r="H21" s="10" t="s">
        <v>274</v>
      </c>
      <c r="I21" s="10" t="s">
        <v>275</v>
      </c>
      <c r="J21" s="11"/>
      <c r="K21" s="10" t="s">
        <v>103</v>
      </c>
      <c r="L21" s="10" t="s">
        <v>276</v>
      </c>
      <c r="M21" s="10" t="s">
        <v>85</v>
      </c>
      <c r="N21" s="10" t="s">
        <v>277</v>
      </c>
      <c r="O21" s="10" t="s">
        <v>87</v>
      </c>
      <c r="P21" s="10" t="s">
        <v>119</v>
      </c>
      <c r="Q21" s="10" t="s">
        <v>278</v>
      </c>
      <c r="R21" s="11"/>
      <c r="S21" s="10" t="s">
        <v>279</v>
      </c>
      <c r="T21" s="11"/>
      <c r="U21" s="11"/>
      <c r="V21" s="10" t="s">
        <v>191</v>
      </c>
      <c r="W21" s="10" t="s">
        <v>280</v>
      </c>
      <c r="X21" s="10" t="s">
        <v>281</v>
      </c>
      <c r="Y21" s="11"/>
      <c r="Z21" s="11"/>
      <c r="AA21" s="11"/>
    </row>
    <row r="22" customFormat="false" ht="15" hidden="false" customHeight="false" outlineLevel="0" collapsed="false">
      <c r="A22" s="8" t="s">
        <v>282</v>
      </c>
      <c r="B22" s="9" t="n">
        <f aca="false">COUNTA(C22:AA22)</f>
        <v>20</v>
      </c>
      <c r="C22" s="12" t="s">
        <v>283</v>
      </c>
      <c r="D22" s="10" t="s">
        <v>284</v>
      </c>
      <c r="E22" s="10" t="s">
        <v>285</v>
      </c>
      <c r="F22" s="10" t="s">
        <v>238</v>
      </c>
      <c r="G22" s="10" t="s">
        <v>286</v>
      </c>
      <c r="H22" s="10" t="s">
        <v>81</v>
      </c>
      <c r="I22" s="10" t="s">
        <v>287</v>
      </c>
      <c r="J22" s="10" t="s">
        <v>288</v>
      </c>
      <c r="K22" s="10" t="s">
        <v>289</v>
      </c>
      <c r="L22" s="10" t="s">
        <v>290</v>
      </c>
      <c r="M22" s="10" t="s">
        <v>291</v>
      </c>
      <c r="N22" s="10" t="s">
        <v>219</v>
      </c>
      <c r="O22" s="10" t="s">
        <v>87</v>
      </c>
      <c r="P22" s="10" t="s">
        <v>119</v>
      </c>
      <c r="Q22" s="10" t="s">
        <v>188</v>
      </c>
      <c r="R22" s="10" t="s">
        <v>292</v>
      </c>
      <c r="S22" s="11"/>
      <c r="T22" s="11"/>
      <c r="U22" s="10" t="s">
        <v>293</v>
      </c>
      <c r="V22" s="10" t="s">
        <v>294</v>
      </c>
      <c r="W22" s="10" t="s">
        <v>95</v>
      </c>
      <c r="X22" s="10" t="s">
        <v>175</v>
      </c>
      <c r="Y22" s="11"/>
      <c r="Z22" s="11"/>
      <c r="AA22" s="11"/>
    </row>
    <row r="23" customFormat="false" ht="15" hidden="false" customHeight="false" outlineLevel="0" collapsed="false">
      <c r="A23" s="8" t="s">
        <v>295</v>
      </c>
      <c r="B23" s="9" t="n">
        <f aca="false">COUNTA(C23:AA23)</f>
        <v>3</v>
      </c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0" t="s">
        <v>250</v>
      </c>
      <c r="O23" s="10" t="s">
        <v>87</v>
      </c>
      <c r="P23" s="11"/>
      <c r="Q23" s="11"/>
      <c r="R23" s="11"/>
      <c r="S23" s="11"/>
      <c r="T23" s="10" t="s">
        <v>296</v>
      </c>
      <c r="U23" s="11"/>
      <c r="V23" s="11"/>
      <c r="W23" s="11"/>
      <c r="X23" s="11"/>
      <c r="Y23" s="11"/>
      <c r="Z23" s="11"/>
      <c r="AA23" s="11"/>
    </row>
    <row r="24" customFormat="false" ht="15" hidden="false" customHeight="false" outlineLevel="0" collapsed="false">
      <c r="A24" s="8" t="s">
        <v>297</v>
      </c>
      <c r="B24" s="9" t="n">
        <f aca="false">COUNTA(C24:AA24)</f>
        <v>3</v>
      </c>
      <c r="C24" s="11"/>
      <c r="D24" s="11"/>
      <c r="E24" s="10" t="s">
        <v>285</v>
      </c>
      <c r="F24" s="11"/>
      <c r="G24" s="11"/>
      <c r="H24" s="10" t="s">
        <v>298</v>
      </c>
      <c r="I24" s="11"/>
      <c r="J24" s="11"/>
      <c r="K24" s="11"/>
      <c r="L24" s="11"/>
      <c r="M24" s="11"/>
      <c r="N24" s="11"/>
      <c r="O24" s="11"/>
      <c r="P24" s="11"/>
      <c r="Q24" s="11"/>
      <c r="R24" s="10" t="s">
        <v>299</v>
      </c>
      <c r="S24" s="11"/>
      <c r="T24" s="11"/>
      <c r="U24" s="11"/>
      <c r="V24" s="11"/>
      <c r="W24" s="11"/>
      <c r="X24" s="11"/>
      <c r="Y24" s="11"/>
      <c r="Z24" s="11"/>
      <c r="AA24" s="11"/>
    </row>
    <row r="25" customFormat="false" ht="15" hidden="false" customHeight="false" outlineLevel="0" collapsed="false">
      <c r="A25" s="13" t="s">
        <v>300</v>
      </c>
      <c r="B25" s="13" t="n">
        <f aca="false">SUM(B7:B24)</f>
        <v>319</v>
      </c>
      <c r="D25" s="5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"/>
    <col collapsed="false" customWidth="true" hidden="false" outlineLevel="0" max="29" min="3" style="0" width="9.51"/>
  </cols>
  <sheetData>
    <row r="1" customFormat="false" ht="15" hidden="false" customHeight="false" outlineLevel="0" collapsed="false">
      <c r="A1" s="4" t="s">
        <v>302</v>
      </c>
    </row>
    <row r="2" customFormat="false" ht="15" hidden="false" customHeight="false" outlineLevel="0" collapsed="false">
      <c r="A2" s="5" t="s">
        <v>303</v>
      </c>
    </row>
    <row r="3" customFormat="false" ht="15" hidden="false" customHeight="false" outlineLevel="0" collapsed="false">
      <c r="A3" s="5" t="s">
        <v>304</v>
      </c>
    </row>
    <row r="4" customFormat="false" ht="15" hidden="false" customHeight="false" outlineLevel="0" collapsed="false">
      <c r="A4" s="5" t="s">
        <v>26</v>
      </c>
    </row>
    <row r="6" customFormat="false" ht="15" hidden="false" customHeight="false" outlineLevel="0" collapsed="false">
      <c r="A6" s="6" t="s">
        <v>27</v>
      </c>
      <c r="B6" s="7" t="s">
        <v>28</v>
      </c>
      <c r="C6" s="6" t="s">
        <v>29</v>
      </c>
      <c r="D6" s="6" t="s">
        <v>30</v>
      </c>
      <c r="E6" s="6" t="s">
        <v>31</v>
      </c>
      <c r="F6" s="6" t="s">
        <v>32</v>
      </c>
      <c r="G6" s="6" t="s">
        <v>33</v>
      </c>
      <c r="H6" s="6" t="s">
        <v>34</v>
      </c>
      <c r="I6" s="6" t="s">
        <v>35</v>
      </c>
      <c r="J6" s="6" t="s">
        <v>36</v>
      </c>
      <c r="K6" s="6" t="s">
        <v>37</v>
      </c>
      <c r="L6" s="6" t="s">
        <v>38</v>
      </c>
      <c r="M6" s="6" t="s">
        <v>39</v>
      </c>
      <c r="N6" s="6" t="s">
        <v>40</v>
      </c>
      <c r="O6" s="6" t="s">
        <v>41</v>
      </c>
      <c r="P6" s="6" t="s">
        <v>42</v>
      </c>
      <c r="Q6" s="6" t="s">
        <v>43</v>
      </c>
      <c r="R6" s="6" t="s">
        <v>44</v>
      </c>
      <c r="S6" s="6" t="s">
        <v>305</v>
      </c>
      <c r="T6" s="6" t="s">
        <v>48</v>
      </c>
      <c r="U6" s="6" t="s">
        <v>49</v>
      </c>
      <c r="V6" s="6" t="s">
        <v>50</v>
      </c>
      <c r="W6" s="6" t="s">
        <v>306</v>
      </c>
      <c r="X6" s="6" t="s">
        <v>51</v>
      </c>
      <c r="Y6" s="6" t="s">
        <v>307</v>
      </c>
      <c r="Z6" s="6" t="s">
        <v>52</v>
      </c>
      <c r="AA6" s="6" t="s">
        <v>308</v>
      </c>
      <c r="AB6" s="6" t="s">
        <v>53</v>
      </c>
      <c r="AC6" s="6" t="s">
        <v>309</v>
      </c>
    </row>
    <row r="7" customFormat="false" ht="15" hidden="false" customHeight="false" outlineLevel="0" collapsed="false">
      <c r="A7" s="8" t="s">
        <v>54</v>
      </c>
      <c r="B7" s="9" t="n">
        <f aca="false">COUNTA(C7:AC7)</f>
        <v>23</v>
      </c>
      <c r="C7" s="10" t="s">
        <v>310</v>
      </c>
      <c r="D7" s="10" t="s">
        <v>311</v>
      </c>
      <c r="E7" s="10" t="s">
        <v>312</v>
      </c>
      <c r="F7" s="10" t="s">
        <v>313</v>
      </c>
      <c r="G7" s="10" t="s">
        <v>314</v>
      </c>
      <c r="H7" s="10" t="s">
        <v>315</v>
      </c>
      <c r="I7" s="10" t="s">
        <v>316</v>
      </c>
      <c r="J7" s="10" t="s">
        <v>317</v>
      </c>
      <c r="K7" s="10" t="s">
        <v>318</v>
      </c>
      <c r="L7" s="10" t="s">
        <v>319</v>
      </c>
      <c r="M7" s="10" t="s">
        <v>320</v>
      </c>
      <c r="N7" s="10" t="s">
        <v>321</v>
      </c>
      <c r="O7" s="10" t="s">
        <v>322</v>
      </c>
      <c r="P7" s="10" t="s">
        <v>323</v>
      </c>
      <c r="Q7" s="10" t="s">
        <v>324</v>
      </c>
      <c r="R7" s="10" t="s">
        <v>325</v>
      </c>
      <c r="S7" s="10" t="s">
        <v>326</v>
      </c>
      <c r="T7" s="10" t="s">
        <v>327</v>
      </c>
      <c r="U7" s="10" t="s">
        <v>328</v>
      </c>
      <c r="V7" s="10" t="s">
        <v>329</v>
      </c>
      <c r="W7" s="10" t="s">
        <v>330</v>
      </c>
      <c r="X7" s="10" t="s">
        <v>331</v>
      </c>
      <c r="Y7" s="11"/>
      <c r="Z7" s="11"/>
      <c r="AA7" s="10" t="s">
        <v>332</v>
      </c>
      <c r="AB7" s="11"/>
      <c r="AC7" s="11"/>
    </row>
    <row r="8" customFormat="false" ht="15" hidden="false" customHeight="false" outlineLevel="0" collapsed="false">
      <c r="A8" s="8" t="s">
        <v>75</v>
      </c>
      <c r="B8" s="9" t="n">
        <f aca="false">COUNTA(C8:AC8)</f>
        <v>22</v>
      </c>
      <c r="C8" s="10" t="s">
        <v>333</v>
      </c>
      <c r="D8" s="10" t="s">
        <v>334</v>
      </c>
      <c r="E8" s="10" t="s">
        <v>335</v>
      </c>
      <c r="F8" s="10" t="s">
        <v>336</v>
      </c>
      <c r="G8" s="10" t="s">
        <v>337</v>
      </c>
      <c r="H8" s="10" t="s">
        <v>338</v>
      </c>
      <c r="I8" s="10" t="s">
        <v>102</v>
      </c>
      <c r="J8" s="10" t="s">
        <v>317</v>
      </c>
      <c r="K8" s="10" t="s">
        <v>339</v>
      </c>
      <c r="L8" s="10" t="s">
        <v>340</v>
      </c>
      <c r="M8" s="10" t="s">
        <v>102</v>
      </c>
      <c r="N8" s="10" t="s">
        <v>341</v>
      </c>
      <c r="O8" s="10" t="s">
        <v>342</v>
      </c>
      <c r="P8" s="10" t="s">
        <v>323</v>
      </c>
      <c r="Q8" s="12" t="s">
        <v>324</v>
      </c>
      <c r="R8" s="10" t="s">
        <v>343</v>
      </c>
      <c r="S8" s="10" t="s">
        <v>344</v>
      </c>
      <c r="T8" s="10" t="s">
        <v>345</v>
      </c>
      <c r="U8" s="10" t="s">
        <v>346</v>
      </c>
      <c r="V8" s="10" t="s">
        <v>347</v>
      </c>
      <c r="W8" s="10" t="s">
        <v>348</v>
      </c>
      <c r="X8" s="10" t="s">
        <v>349</v>
      </c>
      <c r="Y8" s="11"/>
      <c r="Z8" s="11"/>
      <c r="AA8" s="11"/>
      <c r="AB8" s="11"/>
      <c r="AC8" s="11"/>
    </row>
    <row r="9" customFormat="false" ht="15" hidden="false" customHeight="false" outlineLevel="0" collapsed="false">
      <c r="A9" s="8" t="s">
        <v>98</v>
      </c>
      <c r="B9" s="9" t="n">
        <f aca="false">COUNTA(C9:AC9)</f>
        <v>16</v>
      </c>
      <c r="C9" s="10" t="s">
        <v>350</v>
      </c>
      <c r="D9" s="10" t="s">
        <v>351</v>
      </c>
      <c r="E9" s="11"/>
      <c r="F9" s="10" t="s">
        <v>352</v>
      </c>
      <c r="G9" s="10" t="s">
        <v>353</v>
      </c>
      <c r="H9" s="10" t="s">
        <v>354</v>
      </c>
      <c r="I9" s="10" t="s">
        <v>102</v>
      </c>
      <c r="J9" s="10" t="s">
        <v>355</v>
      </c>
      <c r="K9" s="10" t="s">
        <v>356</v>
      </c>
      <c r="L9" s="10" t="s">
        <v>357</v>
      </c>
      <c r="M9" s="10" t="s">
        <v>102</v>
      </c>
      <c r="N9" s="11"/>
      <c r="O9" s="10" t="s">
        <v>358</v>
      </c>
      <c r="P9" s="10" t="s">
        <v>359</v>
      </c>
      <c r="Q9" s="10" t="s">
        <v>324</v>
      </c>
      <c r="R9" s="11"/>
      <c r="S9" s="10" t="s">
        <v>360</v>
      </c>
      <c r="T9" s="11"/>
      <c r="U9" s="10" t="s">
        <v>361</v>
      </c>
      <c r="V9" s="11"/>
      <c r="W9" s="11"/>
      <c r="X9" s="10" t="s">
        <v>362</v>
      </c>
      <c r="Y9" s="11"/>
      <c r="Z9" s="11"/>
      <c r="AA9" s="11"/>
      <c r="AB9" s="11"/>
      <c r="AC9" s="11"/>
    </row>
    <row r="10" customFormat="false" ht="15" hidden="false" customHeight="false" outlineLevel="0" collapsed="false">
      <c r="A10" s="8" t="s">
        <v>108</v>
      </c>
      <c r="B10" s="9" t="n">
        <f aca="false">COUNTA(C10:AC10)</f>
        <v>19</v>
      </c>
      <c r="C10" s="10" t="s">
        <v>333</v>
      </c>
      <c r="D10" s="10" t="s">
        <v>363</v>
      </c>
      <c r="E10" s="10" t="s">
        <v>364</v>
      </c>
      <c r="F10" s="10" t="s">
        <v>336</v>
      </c>
      <c r="G10" s="10" t="s">
        <v>365</v>
      </c>
      <c r="H10" s="10" t="s">
        <v>366</v>
      </c>
      <c r="I10" s="10" t="s">
        <v>102</v>
      </c>
      <c r="J10" s="11"/>
      <c r="K10" s="10" t="s">
        <v>367</v>
      </c>
      <c r="L10" s="10" t="s">
        <v>368</v>
      </c>
      <c r="M10" s="10" t="s">
        <v>102</v>
      </c>
      <c r="N10" s="10" t="s">
        <v>369</v>
      </c>
      <c r="O10" s="10" t="s">
        <v>358</v>
      </c>
      <c r="P10" s="10" t="s">
        <v>323</v>
      </c>
      <c r="Q10" s="10" t="s">
        <v>370</v>
      </c>
      <c r="R10" s="10" t="s">
        <v>371</v>
      </c>
      <c r="S10" s="10" t="s">
        <v>344</v>
      </c>
      <c r="T10" s="11"/>
      <c r="U10" s="10" t="s">
        <v>346</v>
      </c>
      <c r="V10" s="10" t="s">
        <v>372</v>
      </c>
      <c r="W10" s="11"/>
      <c r="X10" s="10" t="s">
        <v>373</v>
      </c>
      <c r="Y10" s="11"/>
      <c r="Z10" s="11"/>
      <c r="AA10" s="11"/>
      <c r="AB10" s="11"/>
      <c r="AC10" s="11"/>
    </row>
    <row r="11" customFormat="false" ht="15" hidden="false" customHeight="false" outlineLevel="0" collapsed="false">
      <c r="A11" s="8" t="s">
        <v>124</v>
      </c>
      <c r="B11" s="9" t="n">
        <f aca="false">COUNTA(C11:AC11)</f>
        <v>23</v>
      </c>
      <c r="C11" s="10" t="s">
        <v>374</v>
      </c>
      <c r="D11" s="10" t="s">
        <v>375</v>
      </c>
      <c r="E11" s="10" t="s">
        <v>376</v>
      </c>
      <c r="F11" s="10" t="s">
        <v>377</v>
      </c>
      <c r="G11" s="10" t="s">
        <v>353</v>
      </c>
      <c r="H11" s="10" t="s">
        <v>378</v>
      </c>
      <c r="I11" s="10" t="s">
        <v>102</v>
      </c>
      <c r="J11" s="10" t="s">
        <v>379</v>
      </c>
      <c r="K11" s="10" t="s">
        <v>380</v>
      </c>
      <c r="L11" s="10" t="s">
        <v>381</v>
      </c>
      <c r="M11" s="10" t="s">
        <v>382</v>
      </c>
      <c r="N11" s="10" t="s">
        <v>383</v>
      </c>
      <c r="O11" s="10" t="s">
        <v>384</v>
      </c>
      <c r="P11" s="10" t="s">
        <v>385</v>
      </c>
      <c r="Q11" s="10" t="s">
        <v>386</v>
      </c>
      <c r="R11" s="10" t="s">
        <v>343</v>
      </c>
      <c r="S11" s="10" t="s">
        <v>326</v>
      </c>
      <c r="T11" s="10" t="s">
        <v>327</v>
      </c>
      <c r="U11" s="10" t="s">
        <v>387</v>
      </c>
      <c r="V11" s="10" t="s">
        <v>388</v>
      </c>
      <c r="W11" s="10" t="s">
        <v>389</v>
      </c>
      <c r="X11" s="10" t="s">
        <v>390</v>
      </c>
      <c r="Y11" s="11"/>
      <c r="Z11" s="10" t="s">
        <v>391</v>
      </c>
      <c r="AA11" s="11"/>
      <c r="AB11" s="11"/>
      <c r="AC11" s="11"/>
    </row>
    <row r="12" customFormat="false" ht="15" hidden="false" customHeight="false" outlineLevel="0" collapsed="false">
      <c r="A12" s="8" t="s">
        <v>143</v>
      </c>
      <c r="B12" s="9" t="n">
        <f aca="false">COUNTA(C12:AC12)</f>
        <v>22</v>
      </c>
      <c r="C12" s="10" t="s">
        <v>374</v>
      </c>
      <c r="D12" s="10" t="s">
        <v>392</v>
      </c>
      <c r="E12" s="10" t="s">
        <v>393</v>
      </c>
      <c r="F12" s="10" t="s">
        <v>336</v>
      </c>
      <c r="G12" s="10" t="s">
        <v>394</v>
      </c>
      <c r="H12" s="12" t="s">
        <v>395</v>
      </c>
      <c r="I12" s="10" t="s">
        <v>396</v>
      </c>
      <c r="J12" s="10" t="s">
        <v>397</v>
      </c>
      <c r="K12" s="10" t="s">
        <v>367</v>
      </c>
      <c r="L12" s="10" t="s">
        <v>398</v>
      </c>
      <c r="M12" s="10" t="s">
        <v>320</v>
      </c>
      <c r="N12" s="10" t="s">
        <v>399</v>
      </c>
      <c r="O12" s="10" t="s">
        <v>400</v>
      </c>
      <c r="P12" s="10" t="s">
        <v>323</v>
      </c>
      <c r="Q12" s="10" t="s">
        <v>401</v>
      </c>
      <c r="R12" s="10" t="s">
        <v>402</v>
      </c>
      <c r="S12" s="10" t="s">
        <v>344</v>
      </c>
      <c r="T12" s="10" t="s">
        <v>327</v>
      </c>
      <c r="U12" s="10" t="s">
        <v>403</v>
      </c>
      <c r="V12" s="10" t="s">
        <v>404</v>
      </c>
      <c r="W12" s="10" t="s">
        <v>405</v>
      </c>
      <c r="X12" s="10" t="s">
        <v>406</v>
      </c>
      <c r="Y12" s="11"/>
      <c r="Z12" s="11"/>
      <c r="AA12" s="11"/>
      <c r="AB12" s="11"/>
      <c r="AC12" s="11"/>
    </row>
    <row r="13" customFormat="false" ht="15" hidden="false" customHeight="false" outlineLevel="0" collapsed="false">
      <c r="A13" s="8" t="s">
        <v>160</v>
      </c>
      <c r="B13" s="9" t="n">
        <f aca="false">COUNTA(C13:AC13)</f>
        <v>21</v>
      </c>
      <c r="C13" s="10" t="s">
        <v>407</v>
      </c>
      <c r="D13" s="10" t="s">
        <v>408</v>
      </c>
      <c r="E13" s="11"/>
      <c r="F13" s="10" t="s">
        <v>336</v>
      </c>
      <c r="G13" s="10" t="s">
        <v>409</v>
      </c>
      <c r="H13" s="10" t="s">
        <v>410</v>
      </c>
      <c r="I13" s="10" t="s">
        <v>411</v>
      </c>
      <c r="J13" s="10" t="s">
        <v>412</v>
      </c>
      <c r="K13" s="10" t="s">
        <v>413</v>
      </c>
      <c r="L13" s="10" t="s">
        <v>398</v>
      </c>
      <c r="M13" s="10" t="s">
        <v>382</v>
      </c>
      <c r="N13" s="10" t="s">
        <v>321</v>
      </c>
      <c r="O13" s="10" t="s">
        <v>414</v>
      </c>
      <c r="P13" s="10" t="s">
        <v>323</v>
      </c>
      <c r="Q13" s="10" t="s">
        <v>370</v>
      </c>
      <c r="R13" s="10" t="s">
        <v>343</v>
      </c>
      <c r="S13" s="10" t="s">
        <v>344</v>
      </c>
      <c r="T13" s="10" t="s">
        <v>415</v>
      </c>
      <c r="U13" s="10" t="s">
        <v>416</v>
      </c>
      <c r="V13" s="10" t="s">
        <v>417</v>
      </c>
      <c r="W13" s="10" t="s">
        <v>418</v>
      </c>
      <c r="X13" s="10" t="s">
        <v>373</v>
      </c>
      <c r="Y13" s="11"/>
      <c r="Z13" s="11"/>
      <c r="AA13" s="11"/>
      <c r="AB13" s="11"/>
      <c r="AC13" s="11"/>
    </row>
    <row r="14" customFormat="false" ht="15" hidden="false" customHeight="false" outlineLevel="0" collapsed="false">
      <c r="A14" s="8" t="s">
        <v>176</v>
      </c>
      <c r="B14" s="9" t="n">
        <f aca="false">COUNTA(C14:AC14)</f>
        <v>21</v>
      </c>
      <c r="C14" s="10" t="s">
        <v>419</v>
      </c>
      <c r="D14" s="10" t="s">
        <v>392</v>
      </c>
      <c r="E14" s="10" t="s">
        <v>312</v>
      </c>
      <c r="F14" s="10" t="s">
        <v>420</v>
      </c>
      <c r="G14" s="10" t="s">
        <v>421</v>
      </c>
      <c r="H14" s="10" t="s">
        <v>378</v>
      </c>
      <c r="I14" s="10" t="s">
        <v>102</v>
      </c>
      <c r="J14" s="10" t="s">
        <v>317</v>
      </c>
      <c r="K14" s="10" t="s">
        <v>422</v>
      </c>
      <c r="L14" s="10" t="s">
        <v>398</v>
      </c>
      <c r="M14" s="10" t="s">
        <v>423</v>
      </c>
      <c r="N14" s="10" t="s">
        <v>341</v>
      </c>
      <c r="O14" s="10" t="s">
        <v>424</v>
      </c>
      <c r="P14" s="10" t="s">
        <v>323</v>
      </c>
      <c r="Q14" s="10" t="s">
        <v>425</v>
      </c>
      <c r="R14" s="10" t="s">
        <v>343</v>
      </c>
      <c r="S14" s="10" t="s">
        <v>344</v>
      </c>
      <c r="T14" s="11"/>
      <c r="U14" s="10" t="s">
        <v>346</v>
      </c>
      <c r="V14" s="10" t="s">
        <v>426</v>
      </c>
      <c r="W14" s="10" t="s">
        <v>427</v>
      </c>
      <c r="X14" s="10" t="s">
        <v>428</v>
      </c>
      <c r="Y14" s="11"/>
      <c r="Z14" s="11"/>
      <c r="AA14" s="11"/>
      <c r="AB14" s="11"/>
      <c r="AC14" s="11"/>
    </row>
    <row r="15" customFormat="false" ht="15" hidden="false" customHeight="false" outlineLevel="0" collapsed="false">
      <c r="A15" s="8" t="s">
        <v>193</v>
      </c>
      <c r="B15" s="9" t="n">
        <f aca="false">COUNTA(C15:AC15)</f>
        <v>23</v>
      </c>
      <c r="C15" s="10" t="s">
        <v>429</v>
      </c>
      <c r="D15" s="10" t="s">
        <v>392</v>
      </c>
      <c r="E15" s="10" t="s">
        <v>312</v>
      </c>
      <c r="F15" s="10" t="s">
        <v>430</v>
      </c>
      <c r="G15" s="10" t="s">
        <v>314</v>
      </c>
      <c r="H15" s="10" t="s">
        <v>431</v>
      </c>
      <c r="I15" s="10" t="s">
        <v>102</v>
      </c>
      <c r="J15" s="10" t="s">
        <v>379</v>
      </c>
      <c r="K15" s="10" t="s">
        <v>422</v>
      </c>
      <c r="L15" s="10" t="s">
        <v>432</v>
      </c>
      <c r="M15" s="10" t="s">
        <v>433</v>
      </c>
      <c r="N15" s="10" t="s">
        <v>341</v>
      </c>
      <c r="O15" s="10" t="s">
        <v>434</v>
      </c>
      <c r="P15" s="10" t="s">
        <v>435</v>
      </c>
      <c r="Q15" s="10" t="s">
        <v>436</v>
      </c>
      <c r="R15" s="10" t="s">
        <v>371</v>
      </c>
      <c r="S15" s="10" t="s">
        <v>344</v>
      </c>
      <c r="T15" s="10" t="s">
        <v>345</v>
      </c>
      <c r="U15" s="10" t="s">
        <v>437</v>
      </c>
      <c r="V15" s="10" t="s">
        <v>438</v>
      </c>
      <c r="W15" s="11"/>
      <c r="X15" s="10" t="s">
        <v>439</v>
      </c>
      <c r="Y15" s="10" t="s">
        <v>440</v>
      </c>
      <c r="Z15" s="11"/>
      <c r="AA15" s="11"/>
      <c r="AB15" s="10" t="s">
        <v>441</v>
      </c>
      <c r="AC15" s="11"/>
    </row>
    <row r="16" customFormat="false" ht="15" hidden="false" customHeight="false" outlineLevel="0" collapsed="false">
      <c r="A16" s="8" t="s">
        <v>211</v>
      </c>
      <c r="B16" s="9" t="n">
        <f aca="false">COUNTA(C16:AC16)</f>
        <v>20</v>
      </c>
      <c r="C16" s="10" t="s">
        <v>333</v>
      </c>
      <c r="D16" s="10" t="s">
        <v>442</v>
      </c>
      <c r="E16" s="10" t="s">
        <v>443</v>
      </c>
      <c r="F16" s="10" t="s">
        <v>313</v>
      </c>
      <c r="G16" s="10" t="s">
        <v>444</v>
      </c>
      <c r="H16" s="10" t="s">
        <v>378</v>
      </c>
      <c r="I16" s="10" t="s">
        <v>102</v>
      </c>
      <c r="J16" s="10" t="s">
        <v>379</v>
      </c>
      <c r="K16" s="10" t="s">
        <v>367</v>
      </c>
      <c r="L16" s="10" t="s">
        <v>445</v>
      </c>
      <c r="M16" s="10" t="s">
        <v>102</v>
      </c>
      <c r="N16" s="10" t="s">
        <v>341</v>
      </c>
      <c r="O16" s="12" t="s">
        <v>358</v>
      </c>
      <c r="P16" s="10" t="s">
        <v>446</v>
      </c>
      <c r="Q16" s="11"/>
      <c r="R16" s="10" t="s">
        <v>447</v>
      </c>
      <c r="S16" s="10" t="s">
        <v>344</v>
      </c>
      <c r="T16" s="11"/>
      <c r="U16" s="10" t="s">
        <v>448</v>
      </c>
      <c r="V16" s="10" t="s">
        <v>449</v>
      </c>
      <c r="W16" s="10" t="s">
        <v>405</v>
      </c>
      <c r="X16" s="10" t="s">
        <v>373</v>
      </c>
      <c r="Y16" s="11"/>
      <c r="Z16" s="11"/>
      <c r="AA16" s="11"/>
      <c r="AB16" s="11"/>
      <c r="AC16" s="11"/>
    </row>
    <row r="17" customFormat="false" ht="15" hidden="false" customHeight="false" outlineLevel="0" collapsed="false">
      <c r="A17" s="8" t="s">
        <v>225</v>
      </c>
      <c r="B17" s="9" t="n">
        <f aca="false">COUNTA(C17:AC17)</f>
        <v>22</v>
      </c>
      <c r="C17" s="10" t="s">
        <v>333</v>
      </c>
      <c r="D17" s="10" t="s">
        <v>363</v>
      </c>
      <c r="E17" s="10" t="s">
        <v>450</v>
      </c>
      <c r="F17" s="10" t="s">
        <v>451</v>
      </c>
      <c r="G17" s="10" t="s">
        <v>353</v>
      </c>
      <c r="H17" s="10" t="s">
        <v>452</v>
      </c>
      <c r="I17" s="10" t="s">
        <v>453</v>
      </c>
      <c r="J17" s="10" t="s">
        <v>454</v>
      </c>
      <c r="K17" s="10" t="s">
        <v>422</v>
      </c>
      <c r="L17" s="10" t="s">
        <v>455</v>
      </c>
      <c r="M17" s="10" t="s">
        <v>433</v>
      </c>
      <c r="N17" s="10" t="s">
        <v>456</v>
      </c>
      <c r="O17" s="10" t="s">
        <v>457</v>
      </c>
      <c r="P17" s="10" t="s">
        <v>323</v>
      </c>
      <c r="Q17" s="10" t="s">
        <v>458</v>
      </c>
      <c r="R17" s="10" t="s">
        <v>371</v>
      </c>
      <c r="S17" s="10" t="s">
        <v>344</v>
      </c>
      <c r="T17" s="10" t="s">
        <v>459</v>
      </c>
      <c r="U17" s="10" t="s">
        <v>448</v>
      </c>
      <c r="V17" s="10" t="s">
        <v>460</v>
      </c>
      <c r="W17" s="10" t="s">
        <v>418</v>
      </c>
      <c r="X17" s="10" t="s">
        <v>406</v>
      </c>
      <c r="Y17" s="11"/>
      <c r="Z17" s="11"/>
      <c r="AA17" s="11"/>
      <c r="AB17" s="11"/>
      <c r="AC17" s="11"/>
    </row>
    <row r="18" customFormat="false" ht="15" hidden="false" customHeight="false" outlineLevel="0" collapsed="false">
      <c r="A18" s="8" t="s">
        <v>236</v>
      </c>
      <c r="B18" s="9" t="n">
        <f aca="false">COUNTA(C18:AC18)</f>
        <v>22</v>
      </c>
      <c r="C18" s="10" t="s">
        <v>333</v>
      </c>
      <c r="D18" s="11"/>
      <c r="E18" s="10" t="s">
        <v>461</v>
      </c>
      <c r="F18" s="10" t="s">
        <v>430</v>
      </c>
      <c r="G18" s="10" t="s">
        <v>462</v>
      </c>
      <c r="H18" s="10" t="s">
        <v>378</v>
      </c>
      <c r="I18" s="10" t="s">
        <v>102</v>
      </c>
      <c r="J18" s="10" t="s">
        <v>463</v>
      </c>
      <c r="K18" s="10" t="s">
        <v>367</v>
      </c>
      <c r="L18" s="10" t="s">
        <v>455</v>
      </c>
      <c r="M18" s="10" t="s">
        <v>102</v>
      </c>
      <c r="N18" s="10" t="s">
        <v>464</v>
      </c>
      <c r="O18" s="10" t="s">
        <v>322</v>
      </c>
      <c r="P18" s="10" t="s">
        <v>465</v>
      </c>
      <c r="Q18" s="10" t="s">
        <v>370</v>
      </c>
      <c r="R18" s="10" t="s">
        <v>371</v>
      </c>
      <c r="S18" s="10" t="s">
        <v>344</v>
      </c>
      <c r="T18" s="10" t="s">
        <v>466</v>
      </c>
      <c r="U18" s="10" t="s">
        <v>467</v>
      </c>
      <c r="V18" s="10" t="s">
        <v>372</v>
      </c>
      <c r="W18" s="10" t="s">
        <v>348</v>
      </c>
      <c r="X18" s="10" t="s">
        <v>362</v>
      </c>
      <c r="Y18" s="11"/>
      <c r="Z18" s="10" t="s">
        <v>391</v>
      </c>
      <c r="AA18" s="11"/>
      <c r="AB18" s="11"/>
      <c r="AC18" s="11"/>
    </row>
    <row r="19" customFormat="false" ht="15" hidden="false" customHeight="false" outlineLevel="0" collapsed="false">
      <c r="A19" s="8" t="s">
        <v>246</v>
      </c>
      <c r="B19" s="9" t="n">
        <f aca="false">COUNTA(C19:AC19)</f>
        <v>19</v>
      </c>
      <c r="C19" s="10" t="s">
        <v>468</v>
      </c>
      <c r="D19" s="10" t="s">
        <v>442</v>
      </c>
      <c r="E19" s="11"/>
      <c r="F19" s="10" t="s">
        <v>469</v>
      </c>
      <c r="G19" s="10" t="s">
        <v>314</v>
      </c>
      <c r="H19" s="10" t="s">
        <v>470</v>
      </c>
      <c r="I19" s="10" t="s">
        <v>102</v>
      </c>
      <c r="J19" s="10" t="s">
        <v>317</v>
      </c>
      <c r="K19" s="10" t="s">
        <v>471</v>
      </c>
      <c r="L19" s="10" t="s">
        <v>455</v>
      </c>
      <c r="M19" s="10" t="s">
        <v>472</v>
      </c>
      <c r="N19" s="10" t="s">
        <v>473</v>
      </c>
      <c r="O19" s="10" t="s">
        <v>358</v>
      </c>
      <c r="P19" s="10" t="s">
        <v>323</v>
      </c>
      <c r="Q19" s="10" t="s">
        <v>370</v>
      </c>
      <c r="R19" s="10" t="s">
        <v>325</v>
      </c>
      <c r="S19" s="10" t="s">
        <v>404</v>
      </c>
      <c r="T19" s="11"/>
      <c r="U19" s="10" t="s">
        <v>328</v>
      </c>
      <c r="V19" s="11"/>
      <c r="W19" s="10" t="s">
        <v>348</v>
      </c>
      <c r="X19" s="10" t="s">
        <v>373</v>
      </c>
      <c r="Y19" s="11"/>
      <c r="Z19" s="11"/>
      <c r="AA19" s="11"/>
      <c r="AB19" s="11"/>
      <c r="AC19" s="11"/>
    </row>
    <row r="20" customFormat="false" ht="15" hidden="false" customHeight="false" outlineLevel="0" collapsed="false">
      <c r="A20" s="8" t="s">
        <v>257</v>
      </c>
      <c r="B20" s="9" t="n">
        <f aca="false">COUNTA(C20:AC20)</f>
        <v>22</v>
      </c>
      <c r="C20" s="10" t="s">
        <v>333</v>
      </c>
      <c r="D20" s="10" t="s">
        <v>392</v>
      </c>
      <c r="E20" s="10" t="s">
        <v>312</v>
      </c>
      <c r="F20" s="10" t="s">
        <v>430</v>
      </c>
      <c r="G20" s="10" t="s">
        <v>409</v>
      </c>
      <c r="H20" s="10" t="s">
        <v>378</v>
      </c>
      <c r="I20" s="10" t="s">
        <v>396</v>
      </c>
      <c r="J20" s="10" t="s">
        <v>474</v>
      </c>
      <c r="K20" s="10" t="s">
        <v>475</v>
      </c>
      <c r="L20" s="10" t="s">
        <v>476</v>
      </c>
      <c r="M20" s="10" t="s">
        <v>382</v>
      </c>
      <c r="N20" s="10" t="s">
        <v>477</v>
      </c>
      <c r="O20" s="10" t="s">
        <v>478</v>
      </c>
      <c r="P20" s="10" t="s">
        <v>479</v>
      </c>
      <c r="Q20" s="10" t="s">
        <v>386</v>
      </c>
      <c r="R20" s="10" t="s">
        <v>343</v>
      </c>
      <c r="S20" s="10" t="s">
        <v>344</v>
      </c>
      <c r="T20" s="10" t="s">
        <v>327</v>
      </c>
      <c r="U20" s="10" t="s">
        <v>346</v>
      </c>
      <c r="V20" s="10" t="s">
        <v>480</v>
      </c>
      <c r="W20" s="10" t="s">
        <v>427</v>
      </c>
      <c r="X20" s="10" t="s">
        <v>406</v>
      </c>
      <c r="Y20" s="11"/>
      <c r="Z20" s="11"/>
      <c r="AA20" s="11"/>
      <c r="AB20" s="11"/>
      <c r="AC20" s="11"/>
    </row>
    <row r="21" customFormat="false" ht="15" hidden="false" customHeight="false" outlineLevel="0" collapsed="false">
      <c r="A21" s="8" t="s">
        <v>270</v>
      </c>
      <c r="B21" s="9" t="n">
        <f aca="false">COUNTA(C21:AC21)</f>
        <v>20</v>
      </c>
      <c r="C21" s="10" t="s">
        <v>374</v>
      </c>
      <c r="D21" s="10" t="s">
        <v>392</v>
      </c>
      <c r="E21" s="11"/>
      <c r="F21" s="10" t="s">
        <v>420</v>
      </c>
      <c r="G21" s="10" t="s">
        <v>481</v>
      </c>
      <c r="H21" s="10" t="s">
        <v>452</v>
      </c>
      <c r="I21" s="10" t="s">
        <v>102</v>
      </c>
      <c r="J21" s="10" t="s">
        <v>317</v>
      </c>
      <c r="K21" s="10" t="s">
        <v>482</v>
      </c>
      <c r="L21" s="10" t="s">
        <v>455</v>
      </c>
      <c r="M21" s="10" t="s">
        <v>102</v>
      </c>
      <c r="N21" s="10" t="s">
        <v>321</v>
      </c>
      <c r="O21" s="10" t="s">
        <v>457</v>
      </c>
      <c r="P21" s="10" t="s">
        <v>323</v>
      </c>
      <c r="Q21" s="10" t="s">
        <v>324</v>
      </c>
      <c r="R21" s="10" t="s">
        <v>343</v>
      </c>
      <c r="S21" s="10" t="s">
        <v>344</v>
      </c>
      <c r="T21" s="10" t="s">
        <v>327</v>
      </c>
      <c r="U21" s="10" t="s">
        <v>346</v>
      </c>
      <c r="V21" s="11"/>
      <c r="W21" s="10" t="s">
        <v>483</v>
      </c>
      <c r="X21" s="10" t="s">
        <v>349</v>
      </c>
      <c r="Y21" s="11"/>
      <c r="Z21" s="11"/>
      <c r="AA21" s="11"/>
      <c r="AB21" s="11"/>
      <c r="AC21" s="11"/>
    </row>
    <row r="22" customFormat="false" ht="15" hidden="false" customHeight="false" outlineLevel="0" collapsed="false">
      <c r="A22" s="8" t="s">
        <v>282</v>
      </c>
      <c r="B22" s="9" t="n">
        <f aca="false">COUNTA(C22:AC22)</f>
        <v>23</v>
      </c>
      <c r="C22" s="10" t="s">
        <v>333</v>
      </c>
      <c r="D22" s="10" t="s">
        <v>392</v>
      </c>
      <c r="E22" s="10" t="s">
        <v>312</v>
      </c>
      <c r="F22" s="10" t="s">
        <v>430</v>
      </c>
      <c r="G22" s="10" t="s">
        <v>484</v>
      </c>
      <c r="H22" s="10" t="s">
        <v>431</v>
      </c>
      <c r="I22" s="10" t="s">
        <v>453</v>
      </c>
      <c r="J22" s="10" t="s">
        <v>317</v>
      </c>
      <c r="K22" s="10" t="s">
        <v>422</v>
      </c>
      <c r="L22" s="10" t="s">
        <v>398</v>
      </c>
      <c r="M22" s="10" t="s">
        <v>423</v>
      </c>
      <c r="N22" s="10" t="s">
        <v>383</v>
      </c>
      <c r="O22" s="10" t="s">
        <v>342</v>
      </c>
      <c r="P22" s="10" t="s">
        <v>323</v>
      </c>
      <c r="Q22" s="12" t="s">
        <v>485</v>
      </c>
      <c r="R22" s="10" t="s">
        <v>371</v>
      </c>
      <c r="S22" s="10" t="s">
        <v>344</v>
      </c>
      <c r="T22" s="10" t="s">
        <v>486</v>
      </c>
      <c r="U22" s="10" t="s">
        <v>346</v>
      </c>
      <c r="V22" s="10" t="s">
        <v>329</v>
      </c>
      <c r="W22" s="10" t="s">
        <v>427</v>
      </c>
      <c r="X22" s="10" t="s">
        <v>373</v>
      </c>
      <c r="Y22" s="11"/>
      <c r="Z22" s="11"/>
      <c r="AA22" s="11"/>
      <c r="AB22" s="11"/>
      <c r="AC22" s="10" t="s">
        <v>487</v>
      </c>
    </row>
    <row r="23" customFormat="false" ht="15" hidden="false" customHeight="false" outlineLevel="0" collapsed="false">
      <c r="A23" s="8" t="s">
        <v>295</v>
      </c>
      <c r="B23" s="9" t="n">
        <f aca="false">COUNTA(C23:AC23)</f>
        <v>3</v>
      </c>
      <c r="C23" s="11"/>
      <c r="D23" s="11"/>
      <c r="E23" s="10" t="s">
        <v>488</v>
      </c>
      <c r="F23" s="11"/>
      <c r="G23" s="10" t="s">
        <v>394</v>
      </c>
      <c r="H23" s="11"/>
      <c r="I23" s="11"/>
      <c r="J23" s="11"/>
      <c r="K23" s="11"/>
      <c r="L23" s="11"/>
      <c r="M23" s="11"/>
      <c r="N23" s="11"/>
      <c r="O23" s="11"/>
      <c r="P23" s="11"/>
      <c r="Q23" s="10" t="s">
        <v>370</v>
      </c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</row>
    <row r="24" customFormat="false" ht="15" hidden="false" customHeight="false" outlineLevel="0" collapsed="false">
      <c r="A24" s="8" t="s">
        <v>297</v>
      </c>
      <c r="B24" s="9" t="n">
        <f aca="false">COUNTA(C24:AC24)</f>
        <v>3</v>
      </c>
      <c r="C24" s="11"/>
      <c r="D24" s="11"/>
      <c r="E24" s="10" t="s">
        <v>312</v>
      </c>
      <c r="F24" s="11"/>
      <c r="G24" s="10" t="s">
        <v>394</v>
      </c>
      <c r="H24" s="11"/>
      <c r="I24" s="10" t="s">
        <v>102</v>
      </c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</row>
    <row r="25" customFormat="false" ht="15" hidden="false" customHeight="false" outlineLevel="0" collapsed="false">
      <c r="A25" s="13" t="s">
        <v>489</v>
      </c>
      <c r="B25" s="13" t="n">
        <f aca="false">SUM(B7:B24)</f>
        <v>344</v>
      </c>
      <c r="D25" s="5" t="s">
        <v>301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2026-08-18T08:47:40Z</dcterms:created>
  <dc:creator>openpyxl</dc:creator>
  <dc:description/>
  <dc:language>en-US</dc:language>
  <cp:lastModifiedBy/>
  <dcterms:modified xsi:type="dcterms:W3CDTF">2026-08-18T08:47:40Z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